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yagoyal\Downloads\"/>
    </mc:Choice>
  </mc:AlternateContent>
  <xr:revisionPtr revIDLastSave="0" documentId="8_{47018490-568C-4497-9CA7-EF0FDA7FAEB0}" xr6:coauthVersionLast="47" xr6:coauthVersionMax="47" xr10:uidLastSave="{00000000-0000-0000-0000-000000000000}"/>
  <bookViews>
    <workbookView xWindow="-110" yWindow="-110" windowWidth="19420" windowHeight="11500" firstSheet="6" activeTab="6" xr2:uid="{00000000-000D-0000-FFFF-FFFF00000000}"/>
  </bookViews>
  <sheets>
    <sheet name="Profit &amp; Loss" sheetId="1" state="hidden" r:id="rId1"/>
    <sheet name="Quarters" sheetId="3" state="hidden" r:id="rId2"/>
    <sheet name="Balance Sheet" sheetId="2" state="hidden" r:id="rId3"/>
    <sheet name="Cash Flow" sheetId="4" state="hidden" r:id="rId4"/>
    <sheet name="Customization" sheetId="5" state="hidden" r:id="rId5"/>
    <sheet name="financials&gt;" sheetId="8" state="hidden" r:id="rId6"/>
    <sheet name="Historical FS" sheetId="9" r:id="rId7"/>
    <sheet name="Ratio Analysis" sheetId="12" r:id="rId8"/>
    <sheet name="Forecasting" sheetId="13" r:id="rId9"/>
    <sheet name="Data&gt;" sheetId="10" state="hidden" r:id="rId10"/>
    <sheet name="Data Sheet" sheetId="6" r:id="rId11"/>
    <sheet name="cashflow data " sheetId="11" r:id="rId12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5" i="13" l="1"/>
  <c r="N16" i="13"/>
  <c r="N17" i="13"/>
  <c r="N18" i="13"/>
  <c r="N14" i="13"/>
  <c r="N4" i="13" a="1"/>
  <c r="N4" i="13" s="1"/>
  <c r="N13" i="13"/>
  <c r="L2" i="13"/>
  <c r="L5" i="13"/>
  <c r="L6" i="13" s="1"/>
  <c r="L7" i="13" s="1"/>
  <c r="L8" i="13" s="1"/>
  <c r="L9" i="13" s="1"/>
  <c r="L10" i="13" s="1"/>
  <c r="L11" i="13" s="1"/>
  <c r="L12" i="13" s="1"/>
  <c r="L13" i="13" s="1"/>
  <c r="L14" i="13" s="1"/>
  <c r="M4" i="13"/>
  <c r="M5" i="13" s="1"/>
  <c r="M6" i="13" s="1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H4" i="13"/>
  <c r="C4" i="13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G2" i="13"/>
  <c r="B2" i="13"/>
  <c r="I4" i="13" a="1"/>
  <c r="I4" i="13" s="1"/>
  <c r="G5" i="13"/>
  <c r="G6" i="13" s="1"/>
  <c r="G7" i="13" s="1"/>
  <c r="G8" i="13" s="1"/>
  <c r="G9" i="13" s="1"/>
  <c r="G10" i="13" s="1"/>
  <c r="G11" i="13" s="1"/>
  <c r="G12" i="13" s="1"/>
  <c r="G13" i="13" s="1"/>
  <c r="G14" i="13" s="1"/>
  <c r="H5" i="13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D4" i="13" a="1"/>
  <c r="D4" i="13" s="1"/>
  <c r="B5" i="13"/>
  <c r="B6" i="13" s="1"/>
  <c r="B7" i="13" s="1"/>
  <c r="B8" i="13" s="1"/>
  <c r="B9" i="13" s="1"/>
  <c r="B10" i="13" s="1"/>
  <c r="B11" i="13" s="1"/>
  <c r="B12" i="13" s="1"/>
  <c r="B13" i="13" s="1"/>
  <c r="B14" i="13" s="1"/>
  <c r="O36" i="12"/>
  <c r="O35" i="12"/>
  <c r="O34" i="12"/>
  <c r="O33" i="12"/>
  <c r="O31" i="12"/>
  <c r="O30" i="12"/>
  <c r="O29" i="12"/>
  <c r="O28" i="12"/>
  <c r="O27" i="12"/>
  <c r="O25" i="12"/>
  <c r="O24" i="12"/>
  <c r="O23" i="12"/>
  <c r="O22" i="12"/>
  <c r="O21" i="12"/>
  <c r="O19" i="12"/>
  <c r="O18" i="12"/>
  <c r="O17" i="12"/>
  <c r="O15" i="12"/>
  <c r="O14" i="12"/>
  <c r="O13" i="12"/>
  <c r="O12" i="12"/>
  <c r="O11" i="12"/>
  <c r="O9" i="12"/>
  <c r="O8" i="12"/>
  <c r="O7" i="12"/>
  <c r="O6" i="12"/>
  <c r="O5" i="12"/>
  <c r="N12" i="12"/>
  <c r="N13" i="12"/>
  <c r="N14" i="12"/>
  <c r="N15" i="12"/>
  <c r="N17" i="12"/>
  <c r="N18" i="12"/>
  <c r="N19" i="12"/>
  <c r="N21" i="12"/>
  <c r="N22" i="12"/>
  <c r="N23" i="12"/>
  <c r="N24" i="12"/>
  <c r="N25" i="12"/>
  <c r="N27" i="12"/>
  <c r="N28" i="12"/>
  <c r="N29" i="12"/>
  <c r="N30" i="12"/>
  <c r="N31" i="12"/>
  <c r="N33" i="12"/>
  <c r="N34" i="12"/>
  <c r="N35" i="12"/>
  <c r="N36" i="12"/>
  <c r="N38" i="12"/>
  <c r="N39" i="12"/>
  <c r="N40" i="12"/>
  <c r="N11" i="12"/>
  <c r="N9" i="12"/>
  <c r="N6" i="12"/>
  <c r="N7" i="12"/>
  <c r="N8" i="12"/>
  <c r="N5" i="12"/>
  <c r="L40" i="12"/>
  <c r="K40" i="12"/>
  <c r="J40" i="12"/>
  <c r="I40" i="12"/>
  <c r="H40" i="12"/>
  <c r="G40" i="12"/>
  <c r="F40" i="12"/>
  <c r="E40" i="12"/>
  <c r="D40" i="12"/>
  <c r="L39" i="12"/>
  <c r="K39" i="12"/>
  <c r="J39" i="12"/>
  <c r="I39" i="12"/>
  <c r="H39" i="12"/>
  <c r="G39" i="12"/>
  <c r="F39" i="12"/>
  <c r="E39" i="12"/>
  <c r="D39" i="12"/>
  <c r="L38" i="12"/>
  <c r="K38" i="12"/>
  <c r="J38" i="12"/>
  <c r="I38" i="12"/>
  <c r="H38" i="12"/>
  <c r="G38" i="12"/>
  <c r="F38" i="12"/>
  <c r="E38" i="12"/>
  <c r="D38" i="12"/>
  <c r="C40" i="12"/>
  <c r="C39" i="12"/>
  <c r="C38" i="12"/>
  <c r="I34" i="12"/>
  <c r="H34" i="12"/>
  <c r="G34" i="12"/>
  <c r="F34" i="12"/>
  <c r="J33" i="12"/>
  <c r="I33" i="12"/>
  <c r="F33" i="12"/>
  <c r="E33" i="12"/>
  <c r="E36" i="12" s="1"/>
  <c r="D33" i="12"/>
  <c r="L29" i="12"/>
  <c r="L35" i="12" s="1"/>
  <c r="D29" i="12"/>
  <c r="D35" i="12" s="1"/>
  <c r="E29" i="12"/>
  <c r="E35" i="12" s="1"/>
  <c r="F29" i="12"/>
  <c r="F35" i="12" s="1"/>
  <c r="G29" i="12"/>
  <c r="G35" i="12" s="1"/>
  <c r="H29" i="12"/>
  <c r="H35" i="12" s="1"/>
  <c r="I29" i="12"/>
  <c r="I35" i="12" s="1"/>
  <c r="J29" i="12"/>
  <c r="J35" i="12" s="1"/>
  <c r="K29" i="12"/>
  <c r="K35" i="12" s="1"/>
  <c r="C29" i="12"/>
  <c r="C35" i="12" s="1"/>
  <c r="D27" i="12"/>
  <c r="E27" i="12"/>
  <c r="F27" i="12"/>
  <c r="G27" i="12"/>
  <c r="G33" i="12" s="1"/>
  <c r="H27" i="12"/>
  <c r="H33" i="12" s="1"/>
  <c r="I27" i="12"/>
  <c r="J27" i="12"/>
  <c r="K27" i="12"/>
  <c r="K33" i="12" s="1"/>
  <c r="L27" i="12"/>
  <c r="L33" i="12" s="1"/>
  <c r="D28" i="12"/>
  <c r="D34" i="12" s="1"/>
  <c r="E28" i="12"/>
  <c r="E34" i="12" s="1"/>
  <c r="F28" i="12"/>
  <c r="G28" i="12"/>
  <c r="H28" i="12"/>
  <c r="I28" i="12"/>
  <c r="J28" i="12"/>
  <c r="J34" i="12" s="1"/>
  <c r="J36" i="12" s="1"/>
  <c r="K28" i="12"/>
  <c r="K34" i="12" s="1"/>
  <c r="L28" i="12"/>
  <c r="L34" i="12" s="1"/>
  <c r="D30" i="12"/>
  <c r="E30" i="12"/>
  <c r="F30" i="12"/>
  <c r="G30" i="12"/>
  <c r="H30" i="12"/>
  <c r="I30" i="12"/>
  <c r="J30" i="12"/>
  <c r="K30" i="12"/>
  <c r="L30" i="12"/>
  <c r="D31" i="12"/>
  <c r="E31" i="12"/>
  <c r="F31" i="12"/>
  <c r="G31" i="12"/>
  <c r="H31" i="12"/>
  <c r="I31" i="12"/>
  <c r="J31" i="12"/>
  <c r="K31" i="12"/>
  <c r="L31" i="12"/>
  <c r="C28" i="12"/>
  <c r="C34" i="12" s="1"/>
  <c r="C31" i="12"/>
  <c r="C30" i="12"/>
  <c r="C27" i="12"/>
  <c r="C33" i="12" s="1"/>
  <c r="C36" i="12" s="1"/>
  <c r="L25" i="12"/>
  <c r="K25" i="12"/>
  <c r="J25" i="12"/>
  <c r="I25" i="12"/>
  <c r="H25" i="12"/>
  <c r="G25" i="12"/>
  <c r="F25" i="12"/>
  <c r="E25" i="12"/>
  <c r="D25" i="12"/>
  <c r="K24" i="12"/>
  <c r="J24" i="12"/>
  <c r="I24" i="12"/>
  <c r="L23" i="12"/>
  <c r="K23" i="12"/>
  <c r="J23" i="12"/>
  <c r="I23" i="12"/>
  <c r="H23" i="12"/>
  <c r="G23" i="12"/>
  <c r="G24" i="12" s="1"/>
  <c r="F23" i="12"/>
  <c r="F24" i="12" s="1"/>
  <c r="E23" i="12"/>
  <c r="D23" i="12"/>
  <c r="L22" i="12"/>
  <c r="L24" i="12" s="1"/>
  <c r="K22" i="12"/>
  <c r="J22" i="12"/>
  <c r="I22" i="12"/>
  <c r="H22" i="12"/>
  <c r="H24" i="12" s="1"/>
  <c r="G22" i="12"/>
  <c r="F22" i="12"/>
  <c r="E22" i="12"/>
  <c r="E24" i="12" s="1"/>
  <c r="D22" i="12"/>
  <c r="D24" i="12" s="1"/>
  <c r="L21" i="12"/>
  <c r="K21" i="12"/>
  <c r="J21" i="12"/>
  <c r="I21" i="12"/>
  <c r="H21" i="12"/>
  <c r="G21" i="12"/>
  <c r="F21" i="12"/>
  <c r="E21" i="12"/>
  <c r="D21" i="12"/>
  <c r="C25" i="12"/>
  <c r="C21" i="12"/>
  <c r="C23" i="12"/>
  <c r="C24" i="12" s="1"/>
  <c r="C22" i="12"/>
  <c r="D18" i="12"/>
  <c r="E18" i="12"/>
  <c r="F18" i="12"/>
  <c r="G18" i="12"/>
  <c r="H18" i="12"/>
  <c r="I18" i="12"/>
  <c r="J18" i="12"/>
  <c r="K18" i="12"/>
  <c r="L18" i="12"/>
  <c r="D19" i="12"/>
  <c r="E19" i="12"/>
  <c r="J19" i="12"/>
  <c r="K19" i="12"/>
  <c r="L19" i="12"/>
  <c r="C17" i="12"/>
  <c r="D17" i="12"/>
  <c r="E17" i="12"/>
  <c r="F17" i="12"/>
  <c r="G17" i="12"/>
  <c r="H17" i="12"/>
  <c r="I17" i="12"/>
  <c r="J17" i="12"/>
  <c r="K17" i="12"/>
  <c r="L17" i="12"/>
  <c r="C18" i="12"/>
  <c r="D13" i="12"/>
  <c r="E13" i="12"/>
  <c r="F13" i="12"/>
  <c r="F19" i="12" s="1"/>
  <c r="G13" i="12"/>
  <c r="G19" i="12" s="1"/>
  <c r="H13" i="12"/>
  <c r="H19" i="12" s="1"/>
  <c r="I13" i="12"/>
  <c r="I19" i="12" s="1"/>
  <c r="J13" i="12"/>
  <c r="K13" i="12"/>
  <c r="L13" i="12"/>
  <c r="C13" i="12"/>
  <c r="C19" i="12" s="1"/>
  <c r="D28" i="9"/>
  <c r="D14" i="12" s="1"/>
  <c r="E28" i="9"/>
  <c r="F28" i="9"/>
  <c r="G28" i="9"/>
  <c r="H28" i="9"/>
  <c r="I28" i="9"/>
  <c r="J28" i="9"/>
  <c r="K28" i="9"/>
  <c r="L28" i="9"/>
  <c r="L14" i="12" s="1"/>
  <c r="M28" i="9"/>
  <c r="C28" i="9"/>
  <c r="C12" i="12"/>
  <c r="L11" i="12"/>
  <c r="L12" i="12"/>
  <c r="L15" i="12"/>
  <c r="C11" i="12"/>
  <c r="D11" i="12"/>
  <c r="E11" i="12"/>
  <c r="F11" i="12"/>
  <c r="G11" i="12"/>
  <c r="H11" i="12"/>
  <c r="I11" i="12"/>
  <c r="J11" i="12"/>
  <c r="K11" i="12"/>
  <c r="D12" i="12"/>
  <c r="E12" i="12"/>
  <c r="F12" i="12"/>
  <c r="G12" i="12"/>
  <c r="H12" i="12"/>
  <c r="I12" i="12"/>
  <c r="J12" i="12"/>
  <c r="K12" i="12"/>
  <c r="E14" i="12"/>
  <c r="F14" i="12"/>
  <c r="G14" i="12"/>
  <c r="H14" i="12"/>
  <c r="I14" i="12"/>
  <c r="J14" i="12"/>
  <c r="K14" i="12"/>
  <c r="D15" i="12"/>
  <c r="E15" i="12"/>
  <c r="F15" i="12"/>
  <c r="G15" i="12"/>
  <c r="H15" i="12"/>
  <c r="I15" i="12"/>
  <c r="J15" i="12"/>
  <c r="K15" i="12"/>
  <c r="C14" i="12"/>
  <c r="C15" i="12"/>
  <c r="E8" i="12"/>
  <c r="F8" i="12"/>
  <c r="G8" i="12"/>
  <c r="H8" i="12"/>
  <c r="I8" i="12"/>
  <c r="J8" i="12"/>
  <c r="K8" i="12"/>
  <c r="L8" i="12"/>
  <c r="E9" i="12"/>
  <c r="F9" i="12"/>
  <c r="G9" i="12"/>
  <c r="H9" i="12"/>
  <c r="I9" i="12"/>
  <c r="J9" i="12"/>
  <c r="K9" i="12"/>
  <c r="L9" i="12"/>
  <c r="E7" i="12"/>
  <c r="F7" i="12"/>
  <c r="G7" i="12"/>
  <c r="H7" i="12"/>
  <c r="I7" i="12"/>
  <c r="J7" i="12"/>
  <c r="K7" i="12"/>
  <c r="L7" i="12"/>
  <c r="E6" i="12"/>
  <c r="F6" i="12"/>
  <c r="G6" i="12"/>
  <c r="H6" i="12"/>
  <c r="I6" i="12"/>
  <c r="J6" i="12"/>
  <c r="K6" i="12"/>
  <c r="L6" i="12"/>
  <c r="D9" i="12"/>
  <c r="D8" i="12"/>
  <c r="D7" i="12"/>
  <c r="D6" i="12"/>
  <c r="B2" i="12"/>
  <c r="L3" i="12"/>
  <c r="K3" i="12"/>
  <c r="J3" i="12"/>
  <c r="I3" i="12"/>
  <c r="H3" i="12"/>
  <c r="G3" i="12"/>
  <c r="F3" i="12"/>
  <c r="E3" i="12"/>
  <c r="D3" i="12"/>
  <c r="C3" i="12"/>
  <c r="N11" i="13" l="1"/>
  <c r="N10" i="13"/>
  <c r="N8" i="13"/>
  <c r="N7" i="13"/>
  <c r="N6" i="13"/>
  <c r="O6" i="13" s="1"/>
  <c r="N5" i="13"/>
  <c r="N12" i="13"/>
  <c r="N9" i="13"/>
  <c r="O9" i="13" s="1"/>
  <c r="O13" i="13"/>
  <c r="L15" i="13"/>
  <c r="O14" i="13"/>
  <c r="O5" i="13"/>
  <c r="O7" i="13"/>
  <c r="O8" i="13"/>
  <c r="O11" i="13"/>
  <c r="B15" i="13"/>
  <c r="I13" i="13"/>
  <c r="I12" i="13"/>
  <c r="I11" i="13"/>
  <c r="I10" i="13"/>
  <c r="I9" i="13"/>
  <c r="J9" i="13" s="1"/>
  <c r="I8" i="13"/>
  <c r="I7" i="13"/>
  <c r="J7" i="13" s="1"/>
  <c r="I6" i="13"/>
  <c r="J6" i="13" s="1"/>
  <c r="I5" i="13"/>
  <c r="I14" i="13" s="1"/>
  <c r="J14" i="13" s="1"/>
  <c r="G15" i="13"/>
  <c r="J13" i="13"/>
  <c r="J11" i="13"/>
  <c r="D11" i="13"/>
  <c r="E11" i="13" s="1"/>
  <c r="D6" i="13"/>
  <c r="D5" i="13"/>
  <c r="E5" i="13" s="1"/>
  <c r="D13" i="13"/>
  <c r="E13" i="13" s="1"/>
  <c r="D12" i="13"/>
  <c r="D10" i="13"/>
  <c r="D9" i="13"/>
  <c r="E9" i="13" s="1"/>
  <c r="D8" i="13"/>
  <c r="D7" i="13"/>
  <c r="D36" i="12"/>
  <c r="L36" i="12"/>
  <c r="K36" i="12"/>
  <c r="F36" i="12"/>
  <c r="G36" i="12"/>
  <c r="H36" i="12"/>
  <c r="I36" i="12"/>
  <c r="J95" i="9"/>
  <c r="K95" i="9"/>
  <c r="L95" i="9"/>
  <c r="J96" i="9"/>
  <c r="K96" i="9"/>
  <c r="L96" i="9"/>
  <c r="J97" i="9"/>
  <c r="K97" i="9"/>
  <c r="L97" i="9"/>
  <c r="J98" i="9"/>
  <c r="K98" i="9"/>
  <c r="L98" i="9"/>
  <c r="L101" i="9" s="1"/>
  <c r="J99" i="9"/>
  <c r="K99" i="9"/>
  <c r="L99" i="9"/>
  <c r="J100" i="9"/>
  <c r="K100" i="9"/>
  <c r="L100" i="9"/>
  <c r="D95" i="9"/>
  <c r="E95" i="9"/>
  <c r="F95" i="9"/>
  <c r="G95" i="9"/>
  <c r="H95" i="9"/>
  <c r="I95" i="9"/>
  <c r="D96" i="9"/>
  <c r="E96" i="9"/>
  <c r="F96" i="9"/>
  <c r="G96" i="9"/>
  <c r="H96" i="9"/>
  <c r="I96" i="9"/>
  <c r="D97" i="9"/>
  <c r="E97" i="9"/>
  <c r="F97" i="9"/>
  <c r="G97" i="9"/>
  <c r="H97" i="9"/>
  <c r="I97" i="9"/>
  <c r="D98" i="9"/>
  <c r="E98" i="9"/>
  <c r="F98" i="9"/>
  <c r="G98" i="9"/>
  <c r="H98" i="9"/>
  <c r="I98" i="9"/>
  <c r="D99" i="9"/>
  <c r="E99" i="9"/>
  <c r="F99" i="9"/>
  <c r="G99" i="9"/>
  <c r="H99" i="9"/>
  <c r="I99" i="9"/>
  <c r="D100" i="9"/>
  <c r="E100" i="9"/>
  <c r="F100" i="9"/>
  <c r="G100" i="9"/>
  <c r="H100" i="9"/>
  <c r="I100" i="9"/>
  <c r="C96" i="9"/>
  <c r="C97" i="9"/>
  <c r="C98" i="9"/>
  <c r="C99" i="9"/>
  <c r="C100" i="9"/>
  <c r="C95" i="9"/>
  <c r="C101" i="9" s="1"/>
  <c r="L82" i="9"/>
  <c r="L83" i="9"/>
  <c r="L84" i="9"/>
  <c r="L85" i="9"/>
  <c r="L86" i="9"/>
  <c r="L87" i="9"/>
  <c r="L88" i="9"/>
  <c r="L89" i="9"/>
  <c r="L90" i="9"/>
  <c r="L91" i="9"/>
  <c r="L92" i="9"/>
  <c r="I82" i="9"/>
  <c r="J82" i="9"/>
  <c r="K82" i="9"/>
  <c r="I83" i="9"/>
  <c r="J83" i="9"/>
  <c r="K83" i="9"/>
  <c r="I84" i="9"/>
  <c r="J84" i="9"/>
  <c r="K84" i="9"/>
  <c r="I85" i="9"/>
  <c r="J85" i="9"/>
  <c r="K85" i="9"/>
  <c r="I86" i="9"/>
  <c r="J86" i="9"/>
  <c r="K86" i="9"/>
  <c r="I87" i="9"/>
  <c r="J87" i="9"/>
  <c r="K87" i="9"/>
  <c r="I88" i="9"/>
  <c r="J88" i="9"/>
  <c r="K88" i="9"/>
  <c r="I89" i="9"/>
  <c r="J89" i="9"/>
  <c r="K89" i="9"/>
  <c r="I90" i="9"/>
  <c r="J90" i="9"/>
  <c r="K90" i="9"/>
  <c r="I91" i="9"/>
  <c r="J91" i="9"/>
  <c r="K91" i="9"/>
  <c r="I92" i="9"/>
  <c r="J92" i="9"/>
  <c r="K92" i="9"/>
  <c r="D82" i="9"/>
  <c r="E82" i="9"/>
  <c r="F82" i="9"/>
  <c r="G82" i="9"/>
  <c r="H82" i="9"/>
  <c r="D83" i="9"/>
  <c r="E83" i="9"/>
  <c r="F83" i="9"/>
  <c r="G83" i="9"/>
  <c r="H83" i="9"/>
  <c r="D84" i="9"/>
  <c r="E84" i="9"/>
  <c r="F84" i="9"/>
  <c r="G84" i="9"/>
  <c r="H84" i="9"/>
  <c r="D85" i="9"/>
  <c r="E85" i="9"/>
  <c r="F85" i="9"/>
  <c r="G85" i="9"/>
  <c r="H85" i="9"/>
  <c r="D86" i="9"/>
  <c r="E86" i="9"/>
  <c r="F86" i="9"/>
  <c r="G86" i="9"/>
  <c r="H86" i="9"/>
  <c r="D87" i="9"/>
  <c r="E87" i="9"/>
  <c r="F87" i="9"/>
  <c r="G87" i="9"/>
  <c r="H87" i="9"/>
  <c r="D88" i="9"/>
  <c r="E88" i="9"/>
  <c r="F88" i="9"/>
  <c r="G88" i="9"/>
  <c r="H88" i="9"/>
  <c r="D89" i="9"/>
  <c r="E89" i="9"/>
  <c r="F89" i="9"/>
  <c r="G89" i="9"/>
  <c r="H89" i="9"/>
  <c r="D90" i="9"/>
  <c r="E90" i="9"/>
  <c r="F90" i="9"/>
  <c r="G90" i="9"/>
  <c r="H90" i="9"/>
  <c r="D91" i="9"/>
  <c r="E91" i="9"/>
  <c r="F91" i="9"/>
  <c r="G91" i="9"/>
  <c r="H91" i="9"/>
  <c r="D92" i="9"/>
  <c r="E92" i="9"/>
  <c r="F92" i="9"/>
  <c r="G92" i="9"/>
  <c r="H92" i="9"/>
  <c r="C83" i="9"/>
  <c r="C84" i="9"/>
  <c r="C85" i="9"/>
  <c r="C86" i="9"/>
  <c r="C87" i="9"/>
  <c r="C88" i="9"/>
  <c r="C89" i="9"/>
  <c r="C90" i="9"/>
  <c r="C91" i="9"/>
  <c r="C92" i="9"/>
  <c r="C82" i="9"/>
  <c r="C71" i="9"/>
  <c r="D71" i="9"/>
  <c r="E71" i="9"/>
  <c r="F71" i="9"/>
  <c r="G71" i="9"/>
  <c r="H71" i="9"/>
  <c r="I71" i="9"/>
  <c r="J71" i="9"/>
  <c r="K71" i="9"/>
  <c r="L71" i="9"/>
  <c r="C72" i="9"/>
  <c r="D72" i="9"/>
  <c r="E72" i="9"/>
  <c r="F72" i="9"/>
  <c r="G72" i="9"/>
  <c r="H72" i="9"/>
  <c r="I72" i="9"/>
  <c r="J72" i="9"/>
  <c r="K72" i="9"/>
  <c r="L72" i="9"/>
  <c r="C73" i="9"/>
  <c r="D73" i="9"/>
  <c r="E73" i="9"/>
  <c r="F73" i="9"/>
  <c r="G73" i="9"/>
  <c r="H73" i="9"/>
  <c r="I73" i="9"/>
  <c r="J73" i="9"/>
  <c r="K73" i="9"/>
  <c r="L73" i="9"/>
  <c r="C74" i="9"/>
  <c r="D74" i="9"/>
  <c r="E74" i="9"/>
  <c r="F74" i="9"/>
  <c r="G74" i="9"/>
  <c r="H74" i="9"/>
  <c r="I74" i="9"/>
  <c r="J74" i="9"/>
  <c r="K74" i="9"/>
  <c r="L74" i="9"/>
  <c r="C75" i="9"/>
  <c r="D75" i="9"/>
  <c r="E75" i="9"/>
  <c r="F75" i="9"/>
  <c r="G75" i="9"/>
  <c r="H75" i="9"/>
  <c r="I75" i="9"/>
  <c r="J75" i="9"/>
  <c r="K75" i="9"/>
  <c r="L75" i="9"/>
  <c r="C76" i="9"/>
  <c r="D76" i="9"/>
  <c r="E76" i="9"/>
  <c r="F76" i="9"/>
  <c r="G76" i="9"/>
  <c r="H76" i="9"/>
  <c r="I76" i="9"/>
  <c r="J76" i="9"/>
  <c r="K76" i="9"/>
  <c r="L76" i="9"/>
  <c r="C77" i="9"/>
  <c r="D77" i="9"/>
  <c r="E77" i="9"/>
  <c r="F77" i="9"/>
  <c r="G77" i="9"/>
  <c r="H77" i="9"/>
  <c r="I77" i="9"/>
  <c r="J77" i="9"/>
  <c r="K77" i="9"/>
  <c r="L77" i="9"/>
  <c r="C78" i="9"/>
  <c r="D78" i="9"/>
  <c r="E78" i="9"/>
  <c r="F78" i="9"/>
  <c r="G78" i="9"/>
  <c r="H78" i="9"/>
  <c r="I78" i="9"/>
  <c r="J78" i="9"/>
  <c r="K78" i="9"/>
  <c r="L78" i="9"/>
  <c r="D70" i="9"/>
  <c r="E70" i="9"/>
  <c r="F70" i="9"/>
  <c r="G70" i="9"/>
  <c r="H70" i="9"/>
  <c r="I70" i="9"/>
  <c r="J70" i="9"/>
  <c r="K70" i="9"/>
  <c r="L70" i="9"/>
  <c r="C70" i="9"/>
  <c r="K57" i="9"/>
  <c r="D56" i="9"/>
  <c r="E56" i="9"/>
  <c r="F56" i="9"/>
  <c r="G56" i="9"/>
  <c r="H56" i="9"/>
  <c r="I56" i="9"/>
  <c r="J56" i="9"/>
  <c r="K56" i="9"/>
  <c r="L56" i="9"/>
  <c r="C56" i="9"/>
  <c r="L61" i="9"/>
  <c r="K61" i="9"/>
  <c r="J61" i="9"/>
  <c r="I61" i="9"/>
  <c r="H61" i="9"/>
  <c r="G61" i="9"/>
  <c r="F61" i="9"/>
  <c r="E61" i="9"/>
  <c r="D61" i="9"/>
  <c r="C61" i="9"/>
  <c r="L60" i="9"/>
  <c r="K60" i="9"/>
  <c r="J60" i="9"/>
  <c r="I60" i="9"/>
  <c r="H60" i="9"/>
  <c r="G60" i="9"/>
  <c r="F60" i="9"/>
  <c r="E60" i="9"/>
  <c r="D60" i="9"/>
  <c r="C60" i="9"/>
  <c r="L59" i="9"/>
  <c r="K59" i="9"/>
  <c r="J59" i="9"/>
  <c r="I59" i="9"/>
  <c r="H59" i="9"/>
  <c r="H62" i="9" s="1"/>
  <c r="G59" i="9"/>
  <c r="F59" i="9"/>
  <c r="E59" i="9"/>
  <c r="D59" i="9"/>
  <c r="C59" i="9"/>
  <c r="L55" i="9"/>
  <c r="K55" i="9"/>
  <c r="J55" i="9"/>
  <c r="J57" i="9" s="1"/>
  <c r="I55" i="9"/>
  <c r="H55" i="9"/>
  <c r="G55" i="9"/>
  <c r="F55" i="9"/>
  <c r="E55" i="9"/>
  <c r="D55" i="9"/>
  <c r="C55" i="9"/>
  <c r="L54" i="9"/>
  <c r="K54" i="9"/>
  <c r="J54" i="9"/>
  <c r="I54" i="9"/>
  <c r="H54" i="9"/>
  <c r="G54" i="9"/>
  <c r="F54" i="9"/>
  <c r="E54" i="9"/>
  <c r="D54" i="9"/>
  <c r="C54" i="9"/>
  <c r="L53" i="9"/>
  <c r="L57" i="9" s="1"/>
  <c r="K53" i="9"/>
  <c r="J53" i="9"/>
  <c r="I53" i="9"/>
  <c r="H53" i="9"/>
  <c r="G53" i="9"/>
  <c r="F53" i="9"/>
  <c r="E53" i="9"/>
  <c r="D53" i="9"/>
  <c r="C53" i="9"/>
  <c r="L51" i="9"/>
  <c r="K51" i="9"/>
  <c r="J51" i="9"/>
  <c r="I51" i="9"/>
  <c r="H51" i="9"/>
  <c r="G51" i="9"/>
  <c r="F51" i="9"/>
  <c r="E51" i="9"/>
  <c r="D51" i="9"/>
  <c r="C51" i="9"/>
  <c r="L50" i="9"/>
  <c r="K50" i="9"/>
  <c r="J50" i="9"/>
  <c r="I50" i="9"/>
  <c r="H50" i="9"/>
  <c r="G50" i="9"/>
  <c r="F50" i="9"/>
  <c r="E50" i="9"/>
  <c r="D50" i="9"/>
  <c r="C50" i="9"/>
  <c r="L49" i="9"/>
  <c r="K49" i="9"/>
  <c r="J49" i="9"/>
  <c r="I49" i="9"/>
  <c r="H49" i="9"/>
  <c r="G49" i="9"/>
  <c r="F49" i="9"/>
  <c r="E49" i="9"/>
  <c r="D49" i="9"/>
  <c r="C49" i="9"/>
  <c r="L48" i="9"/>
  <c r="K48" i="9"/>
  <c r="J48" i="9"/>
  <c r="I48" i="9"/>
  <c r="H48" i="9"/>
  <c r="G48" i="9"/>
  <c r="F48" i="9"/>
  <c r="E48" i="9"/>
  <c r="D48" i="9"/>
  <c r="C48" i="9"/>
  <c r="L47" i="9"/>
  <c r="K47" i="9"/>
  <c r="J47" i="9"/>
  <c r="I47" i="9"/>
  <c r="H47" i="9"/>
  <c r="G47" i="9"/>
  <c r="F47" i="9"/>
  <c r="E47" i="9"/>
  <c r="D47" i="9"/>
  <c r="C47" i="9"/>
  <c r="C41" i="9"/>
  <c r="D36" i="9"/>
  <c r="D41" i="9" s="1"/>
  <c r="E36" i="9"/>
  <c r="E41" i="9" s="1"/>
  <c r="F36" i="9"/>
  <c r="F41" i="9" s="1"/>
  <c r="G36" i="9"/>
  <c r="G41" i="9" s="1"/>
  <c r="H36" i="9"/>
  <c r="H41" i="9" s="1"/>
  <c r="I36" i="9"/>
  <c r="I41" i="9" s="1"/>
  <c r="J36" i="9"/>
  <c r="J41" i="9" s="1"/>
  <c r="K36" i="9"/>
  <c r="K41" i="9" s="1"/>
  <c r="L36" i="9"/>
  <c r="L41" i="9" s="1"/>
  <c r="C36" i="9"/>
  <c r="M15" i="9"/>
  <c r="M30" i="9"/>
  <c r="D30" i="9"/>
  <c r="E30" i="9"/>
  <c r="F30" i="9"/>
  <c r="G30" i="9"/>
  <c r="H30" i="9"/>
  <c r="I30" i="9"/>
  <c r="J30" i="9"/>
  <c r="K30" i="9"/>
  <c r="L30" i="9"/>
  <c r="C30" i="9"/>
  <c r="M24" i="9"/>
  <c r="D24" i="9"/>
  <c r="E24" i="9"/>
  <c r="F24" i="9"/>
  <c r="G24" i="9"/>
  <c r="H24" i="9"/>
  <c r="I24" i="9"/>
  <c r="J24" i="9"/>
  <c r="K24" i="9"/>
  <c r="L24" i="9"/>
  <c r="C24" i="9"/>
  <c r="D21" i="9"/>
  <c r="E21" i="9"/>
  <c r="F21" i="9"/>
  <c r="G21" i="9"/>
  <c r="H21" i="9"/>
  <c r="I21" i="9"/>
  <c r="J21" i="9"/>
  <c r="K21" i="9"/>
  <c r="L21" i="9"/>
  <c r="M21" i="9"/>
  <c r="C21" i="9"/>
  <c r="M9" i="9"/>
  <c r="D15" i="9"/>
  <c r="E15" i="9"/>
  <c r="F15" i="9"/>
  <c r="G15" i="9"/>
  <c r="H15" i="9"/>
  <c r="I15" i="9"/>
  <c r="J15" i="9"/>
  <c r="K15" i="9"/>
  <c r="L15" i="9"/>
  <c r="C15" i="9"/>
  <c r="D9" i="9"/>
  <c r="E9" i="9"/>
  <c r="F9" i="9"/>
  <c r="G9" i="9"/>
  <c r="H9" i="9"/>
  <c r="I9" i="9"/>
  <c r="J9" i="9"/>
  <c r="K9" i="9"/>
  <c r="L9" i="9"/>
  <c r="C9" i="9"/>
  <c r="M6" i="9"/>
  <c r="D6" i="9"/>
  <c r="E6" i="9"/>
  <c r="E7" i="9" s="1"/>
  <c r="E5" i="12" s="1"/>
  <c r="F6" i="9"/>
  <c r="F7" i="9" s="1"/>
  <c r="F5" i="12" s="1"/>
  <c r="G6" i="9"/>
  <c r="G7" i="9" s="1"/>
  <c r="G5" i="12" s="1"/>
  <c r="H6" i="9"/>
  <c r="H7" i="9" s="1"/>
  <c r="H5" i="12" s="1"/>
  <c r="I6" i="9"/>
  <c r="I7" i="9" s="1"/>
  <c r="I5" i="12" s="1"/>
  <c r="J6" i="9"/>
  <c r="K6" i="9"/>
  <c r="K7" i="9" s="1"/>
  <c r="K5" i="12" s="1"/>
  <c r="L6" i="9"/>
  <c r="L7" i="9" s="1"/>
  <c r="L5" i="12" s="1"/>
  <c r="C6" i="9"/>
  <c r="B2" i="9"/>
  <c r="L3" i="9"/>
  <c r="K3" i="9"/>
  <c r="D3" i="9"/>
  <c r="E3" i="9"/>
  <c r="F3" i="9"/>
  <c r="G3" i="9"/>
  <c r="H3" i="9"/>
  <c r="I3" i="9"/>
  <c r="J3" i="9"/>
  <c r="C3" i="9"/>
  <c r="C6" i="3"/>
  <c r="D6" i="3"/>
  <c r="E6" i="3"/>
  <c r="F6" i="3"/>
  <c r="F14" i="3" s="1"/>
  <c r="G6" i="3"/>
  <c r="H6" i="3"/>
  <c r="H14" i="3" s="1"/>
  <c r="I6" i="3"/>
  <c r="J6" i="3"/>
  <c r="K6" i="3"/>
  <c r="B6" i="3"/>
  <c r="C5" i="1"/>
  <c r="D5" i="1"/>
  <c r="E5" i="1"/>
  <c r="F5" i="1"/>
  <c r="G5" i="1"/>
  <c r="H5" i="1"/>
  <c r="I5" i="1"/>
  <c r="I6" i="1" s="1"/>
  <c r="I19" i="1" s="1"/>
  <c r="J5" i="1"/>
  <c r="K5" i="1"/>
  <c r="B5" i="1"/>
  <c r="D13" i="1" s="1"/>
  <c r="E13" i="1" s="1"/>
  <c r="C13" i="1"/>
  <c r="F13" i="1"/>
  <c r="F14" i="1" s="1"/>
  <c r="G13" i="1"/>
  <c r="G14" i="1" s="1"/>
  <c r="B6" i="6"/>
  <c r="C17" i="2"/>
  <c r="D17" i="2"/>
  <c r="E17" i="2"/>
  <c r="F17" i="2"/>
  <c r="G17" i="2"/>
  <c r="H17" i="2"/>
  <c r="I17" i="2"/>
  <c r="J17" i="2"/>
  <c r="J20" i="2" s="1"/>
  <c r="K17" i="2"/>
  <c r="C18" i="2"/>
  <c r="D18" i="2"/>
  <c r="E18" i="2"/>
  <c r="F18" i="2"/>
  <c r="G18" i="2"/>
  <c r="H18" i="2"/>
  <c r="I18" i="2"/>
  <c r="J18" i="2"/>
  <c r="J21" i="2" s="1"/>
  <c r="K18" i="2"/>
  <c r="K21" i="2" s="1"/>
  <c r="B17" i="2"/>
  <c r="C4" i="2"/>
  <c r="C23" i="2" s="1"/>
  <c r="D4" i="2"/>
  <c r="E24" i="2" s="1"/>
  <c r="E4" i="2"/>
  <c r="E23" i="2" s="1"/>
  <c r="E5" i="2"/>
  <c r="F4" i="2"/>
  <c r="G4" i="2"/>
  <c r="H4" i="2"/>
  <c r="I4" i="2"/>
  <c r="I5" i="2"/>
  <c r="J4" i="2"/>
  <c r="J5" i="2"/>
  <c r="J23" i="2" s="1"/>
  <c r="K4" i="2"/>
  <c r="K23" i="2" s="1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B23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H4" i="3"/>
  <c r="I4" i="3"/>
  <c r="L4" i="1" s="1"/>
  <c r="L23" i="1" s="1"/>
  <c r="J4" i="3"/>
  <c r="K4" i="3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L11" i="1" s="1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1" i="2" s="1"/>
  <c r="D4" i="1"/>
  <c r="D20" i="2" s="1"/>
  <c r="E4" i="1"/>
  <c r="E20" i="2" s="1"/>
  <c r="F4" i="1"/>
  <c r="F20" i="2" s="1"/>
  <c r="G4" i="1"/>
  <c r="H4" i="1"/>
  <c r="I4" i="1"/>
  <c r="J4" i="1"/>
  <c r="J6" i="1" s="1"/>
  <c r="J19" i="1" s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G23" i="2" s="1"/>
  <c r="H12" i="1"/>
  <c r="H13" i="1" s="1"/>
  <c r="I12" i="1"/>
  <c r="I13" i="1" s="1"/>
  <c r="J12" i="1"/>
  <c r="J13" i="1" s="1"/>
  <c r="J14" i="1" s="1"/>
  <c r="K12" i="1"/>
  <c r="K13" i="1" s="1"/>
  <c r="C15" i="1"/>
  <c r="C14" i="1" s="1"/>
  <c r="D15" i="1"/>
  <c r="E15" i="1"/>
  <c r="F15" i="1"/>
  <c r="G15" i="1"/>
  <c r="H15" i="1"/>
  <c r="I15" i="1"/>
  <c r="J15" i="1"/>
  <c r="K15" i="1"/>
  <c r="B15" i="1"/>
  <c r="B7" i="1"/>
  <c r="B4" i="1"/>
  <c r="A1" i="1"/>
  <c r="A1" i="3" s="1"/>
  <c r="E1" i="6"/>
  <c r="H1" i="1" s="1"/>
  <c r="E1" i="2"/>
  <c r="E1" i="3"/>
  <c r="H16" i="2"/>
  <c r="D16" i="2"/>
  <c r="C16" i="2"/>
  <c r="F16" i="2"/>
  <c r="H23" i="2"/>
  <c r="D23" i="2"/>
  <c r="G6" i="1"/>
  <c r="G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I21" i="2"/>
  <c r="H21" i="2"/>
  <c r="G21" i="2"/>
  <c r="E21" i="2"/>
  <c r="D21" i="2"/>
  <c r="B18" i="2"/>
  <c r="B21" i="2" s="1"/>
  <c r="B13" i="2"/>
  <c r="B12" i="2"/>
  <c r="B11" i="2"/>
  <c r="B10" i="2"/>
  <c r="B8" i="2"/>
  <c r="B7" i="2"/>
  <c r="B6" i="2"/>
  <c r="B3" i="2"/>
  <c r="J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I14" i="3"/>
  <c r="G14" i="3"/>
  <c r="G20" i="2"/>
  <c r="L12" i="1"/>
  <c r="L13" i="1" s="1"/>
  <c r="L14" i="1" s="1"/>
  <c r="L25" i="1" s="1"/>
  <c r="L6" i="1"/>
  <c r="H23" i="1"/>
  <c r="O10" i="13" l="1"/>
  <c r="O15" i="13"/>
  <c r="L16" i="13"/>
  <c r="O12" i="13"/>
  <c r="E7" i="13"/>
  <c r="E8" i="13"/>
  <c r="E6" i="13"/>
  <c r="I15" i="13"/>
  <c r="J15" i="13" s="1"/>
  <c r="D15" i="13"/>
  <c r="B16" i="13"/>
  <c r="E10" i="13"/>
  <c r="J5" i="13"/>
  <c r="D14" i="13"/>
  <c r="E14" i="13" s="1"/>
  <c r="E12" i="13"/>
  <c r="J10" i="13"/>
  <c r="J8" i="13"/>
  <c r="G16" i="13"/>
  <c r="I16" i="13" s="1"/>
  <c r="J12" i="13"/>
  <c r="H57" i="9"/>
  <c r="J62" i="9"/>
  <c r="I62" i="9"/>
  <c r="D57" i="9"/>
  <c r="K62" i="9"/>
  <c r="J7" i="9"/>
  <c r="J5" i="12" s="1"/>
  <c r="E62" i="9"/>
  <c r="F79" i="9"/>
  <c r="J101" i="9"/>
  <c r="E79" i="9"/>
  <c r="I101" i="9"/>
  <c r="D7" i="9"/>
  <c r="D5" i="12" s="1"/>
  <c r="D79" i="9"/>
  <c r="H101" i="9"/>
  <c r="M7" i="9"/>
  <c r="L22" i="9"/>
  <c r="E57" i="9"/>
  <c r="G101" i="9"/>
  <c r="K16" i="9"/>
  <c r="I25" i="9"/>
  <c r="F57" i="9"/>
  <c r="J64" i="9"/>
  <c r="J66" i="9" s="1"/>
  <c r="L62" i="9"/>
  <c r="L64" i="9" s="1"/>
  <c r="L66" i="9" s="1"/>
  <c r="I79" i="9"/>
  <c r="I103" i="9" s="1"/>
  <c r="F101" i="9"/>
  <c r="J16" i="9"/>
  <c r="J22" i="9"/>
  <c r="G57" i="9"/>
  <c r="I57" i="9"/>
  <c r="I64" i="9" s="1"/>
  <c r="I66" i="9" s="1"/>
  <c r="E101" i="9"/>
  <c r="I16" i="9"/>
  <c r="I22" i="9"/>
  <c r="H64" i="9"/>
  <c r="H66" i="9" s="1"/>
  <c r="D101" i="9"/>
  <c r="H16" i="9"/>
  <c r="H22" i="9"/>
  <c r="C62" i="9"/>
  <c r="G62" i="9"/>
  <c r="G16" i="9"/>
  <c r="G22" i="9"/>
  <c r="D62" i="9"/>
  <c r="D64" i="9" s="1"/>
  <c r="D66" i="9" s="1"/>
  <c r="F62" i="9"/>
  <c r="K101" i="9"/>
  <c r="F16" i="9"/>
  <c r="H79" i="9"/>
  <c r="K79" i="9"/>
  <c r="C79" i="9"/>
  <c r="C103" i="9" s="1"/>
  <c r="C57" i="9"/>
  <c r="C64" i="9" s="1"/>
  <c r="C66" i="9" s="1"/>
  <c r="G79" i="9"/>
  <c r="L79" i="9"/>
  <c r="L103" i="9" s="1"/>
  <c r="J79" i="9"/>
  <c r="M16" i="9"/>
  <c r="K64" i="9"/>
  <c r="K66" i="9" s="1"/>
  <c r="M36" i="9"/>
  <c r="M41" i="9" s="1"/>
  <c r="E22" i="9"/>
  <c r="D10" i="9"/>
  <c r="C22" i="9"/>
  <c r="C25" i="9"/>
  <c r="L16" i="9"/>
  <c r="D22" i="9"/>
  <c r="C10" i="9"/>
  <c r="L10" i="9"/>
  <c r="K10" i="9"/>
  <c r="J10" i="9"/>
  <c r="I10" i="9"/>
  <c r="H10" i="9"/>
  <c r="M25" i="9"/>
  <c r="M22" i="9"/>
  <c r="E16" i="9"/>
  <c r="G25" i="9"/>
  <c r="L25" i="9"/>
  <c r="K25" i="9"/>
  <c r="J25" i="9"/>
  <c r="D16" i="9"/>
  <c r="F25" i="9"/>
  <c r="D25" i="9"/>
  <c r="H25" i="9"/>
  <c r="M10" i="9"/>
  <c r="E25" i="9"/>
  <c r="L12" i="9"/>
  <c r="C12" i="9"/>
  <c r="K12" i="9"/>
  <c r="I12" i="9"/>
  <c r="J12" i="9"/>
  <c r="G10" i="9"/>
  <c r="F10" i="9"/>
  <c r="H12" i="9"/>
  <c r="C16" i="9"/>
  <c r="F22" i="9"/>
  <c r="D12" i="9"/>
  <c r="K22" i="9"/>
  <c r="G12" i="9"/>
  <c r="F12" i="9"/>
  <c r="E12" i="9"/>
  <c r="E10" i="9"/>
  <c r="M12" i="9"/>
  <c r="K14" i="1"/>
  <c r="N11" i="1"/>
  <c r="M11" i="1"/>
  <c r="I24" i="2"/>
  <c r="G24" i="2"/>
  <c r="A1" i="2"/>
  <c r="A1" i="4" s="1"/>
  <c r="E14" i="1"/>
  <c r="K24" i="1"/>
  <c r="M24" i="1" s="1"/>
  <c r="L9" i="1"/>
  <c r="M9" i="1" s="1"/>
  <c r="E16" i="2"/>
  <c r="L7" i="1"/>
  <c r="D24" i="2"/>
  <c r="B14" i="3"/>
  <c r="D6" i="1"/>
  <c r="D19" i="1" s="1"/>
  <c r="E6" i="1"/>
  <c r="E19" i="1" s="1"/>
  <c r="I24" i="1" s="1"/>
  <c r="I14" i="1"/>
  <c r="K25" i="1" s="1"/>
  <c r="M25" i="1" s="1"/>
  <c r="M14" i="1" s="1"/>
  <c r="I23" i="2"/>
  <c r="J23" i="1"/>
  <c r="H14" i="1"/>
  <c r="J16" i="2"/>
  <c r="I23" i="1"/>
  <c r="C6" i="1"/>
  <c r="C19" i="1" s="1"/>
  <c r="H24" i="1" s="1"/>
  <c r="J24" i="2"/>
  <c r="B16" i="2"/>
  <c r="K6" i="1"/>
  <c r="K19" i="1" s="1"/>
  <c r="F23" i="2"/>
  <c r="B14" i="1"/>
  <c r="D14" i="1"/>
  <c r="L19" i="1"/>
  <c r="L24" i="1" s="1"/>
  <c r="F21" i="2"/>
  <c r="K24" i="2"/>
  <c r="C24" i="2"/>
  <c r="C20" i="2"/>
  <c r="L8" i="1"/>
  <c r="N8" i="1" s="1"/>
  <c r="B20" i="2"/>
  <c r="K14" i="3"/>
  <c r="H24" i="2"/>
  <c r="F24" i="2"/>
  <c r="J25" i="1"/>
  <c r="N9" i="1"/>
  <c r="H25" i="1"/>
  <c r="N25" i="1" s="1"/>
  <c r="N14" i="1" s="1"/>
  <c r="I25" i="1"/>
  <c r="I20" i="2"/>
  <c r="H20" i="2"/>
  <c r="K23" i="1"/>
  <c r="M23" i="1" s="1"/>
  <c r="M4" i="1" s="1"/>
  <c r="H6" i="1"/>
  <c r="H19" i="1" s="1"/>
  <c r="J24" i="1" s="1"/>
  <c r="F6" i="1"/>
  <c r="F19" i="1" s="1"/>
  <c r="E1" i="4"/>
  <c r="L17" i="13" l="1"/>
  <c r="O16" i="13"/>
  <c r="D16" i="13"/>
  <c r="E16" i="13" s="1"/>
  <c r="B17" i="13"/>
  <c r="E15" i="13"/>
  <c r="J16" i="13"/>
  <c r="G17" i="13"/>
  <c r="I17" i="13" s="1"/>
  <c r="J17" i="13" s="1"/>
  <c r="G64" i="9"/>
  <c r="G66" i="9" s="1"/>
  <c r="J103" i="9"/>
  <c r="E64" i="9"/>
  <c r="E66" i="9" s="1"/>
  <c r="F103" i="9"/>
  <c r="D103" i="9"/>
  <c r="G103" i="9"/>
  <c r="K103" i="9"/>
  <c r="F64" i="9"/>
  <c r="F66" i="9" s="1"/>
  <c r="E103" i="9"/>
  <c r="H103" i="9"/>
  <c r="M18" i="9"/>
  <c r="M13" i="9"/>
  <c r="H18" i="9"/>
  <c r="H13" i="9"/>
  <c r="J18" i="9"/>
  <c r="J13" i="9"/>
  <c r="E18" i="9"/>
  <c r="E13" i="9"/>
  <c r="I18" i="9"/>
  <c r="I13" i="9"/>
  <c r="F18" i="9"/>
  <c r="F13" i="9"/>
  <c r="K18" i="9"/>
  <c r="K13" i="9"/>
  <c r="G18" i="9"/>
  <c r="G13" i="9"/>
  <c r="C18" i="9"/>
  <c r="C13" i="9"/>
  <c r="L18" i="9"/>
  <c r="L13" i="9"/>
  <c r="D18" i="9"/>
  <c r="D13" i="9"/>
  <c r="N24" i="1"/>
  <c r="N23" i="1"/>
  <c r="N4" i="1" s="1"/>
  <c r="N6" i="1" s="1"/>
  <c r="N10" i="1" s="1"/>
  <c r="N12" i="1" s="1"/>
  <c r="N13" i="1" s="1"/>
  <c r="N15" i="1" s="1"/>
  <c r="M8" i="1"/>
  <c r="M6" i="1"/>
  <c r="M10" i="1" s="1"/>
  <c r="M12" i="1" s="1"/>
  <c r="M13" i="1" s="1"/>
  <c r="M15" i="1" s="1"/>
  <c r="L18" i="13" l="1"/>
  <c r="O17" i="13"/>
  <c r="B18" i="13"/>
  <c r="D18" i="13" s="1"/>
  <c r="D17" i="13"/>
  <c r="E17" i="13" s="1"/>
  <c r="G18" i="13"/>
  <c r="I18" i="13" s="1"/>
  <c r="J18" i="13" s="1"/>
  <c r="F19" i="9"/>
  <c r="F27" i="9"/>
  <c r="D19" i="9"/>
  <c r="D27" i="9"/>
  <c r="I19" i="9"/>
  <c r="I27" i="9"/>
  <c r="L19" i="9"/>
  <c r="L27" i="9"/>
  <c r="E19" i="9"/>
  <c r="E27" i="9"/>
  <c r="C19" i="9"/>
  <c r="C27" i="9"/>
  <c r="J19" i="9"/>
  <c r="J27" i="9"/>
  <c r="G19" i="9"/>
  <c r="G27" i="9"/>
  <c r="H19" i="9"/>
  <c r="H27" i="9"/>
  <c r="K19" i="9"/>
  <c r="K27" i="9"/>
  <c r="M19" i="9"/>
  <c r="M27" i="9"/>
  <c r="N5" i="1"/>
  <c r="M5" i="1"/>
  <c r="O18" i="13" l="1"/>
  <c r="E18" i="13"/>
  <c r="H33" i="9"/>
  <c r="H31" i="9"/>
  <c r="C33" i="9"/>
  <c r="C31" i="9"/>
  <c r="E31" i="9"/>
  <c r="E33" i="9"/>
  <c r="K33" i="9"/>
  <c r="K31" i="9"/>
  <c r="L33" i="9"/>
  <c r="L31" i="9"/>
  <c r="I31" i="9"/>
  <c r="I33" i="9"/>
  <c r="G31" i="9"/>
  <c r="G33" i="9"/>
  <c r="D31" i="9"/>
  <c r="D33" i="9"/>
  <c r="J31" i="9"/>
  <c r="J33" i="9"/>
  <c r="F31" i="9"/>
  <c r="F33" i="9"/>
  <c r="M31" i="9"/>
  <c r="M33" i="9"/>
  <c r="D34" i="9" l="1"/>
  <c r="D38" i="9"/>
  <c r="K34" i="9"/>
  <c r="K38" i="9"/>
  <c r="G38" i="9"/>
  <c r="G34" i="9"/>
  <c r="I38" i="9"/>
  <c r="I34" i="9"/>
  <c r="M34" i="9"/>
  <c r="M38" i="9"/>
  <c r="E38" i="9"/>
  <c r="E34" i="9"/>
  <c r="F34" i="9"/>
  <c r="F38" i="9"/>
  <c r="C34" i="9"/>
  <c r="C38" i="9"/>
  <c r="J38" i="9"/>
  <c r="J34" i="9"/>
  <c r="L34" i="9"/>
  <c r="L38" i="9"/>
  <c r="H38" i="9"/>
  <c r="H34" i="9"/>
  <c r="E39" i="9" l="1"/>
  <c r="E42" i="9"/>
  <c r="E44" i="9" s="1"/>
  <c r="M39" i="9"/>
  <c r="M42" i="9"/>
  <c r="M44" i="9" s="1"/>
  <c r="H39" i="9"/>
  <c r="H42" i="9"/>
  <c r="H44" i="9" s="1"/>
  <c r="L39" i="9"/>
  <c r="L42" i="9"/>
  <c r="L44" i="9" s="1"/>
  <c r="I39" i="9"/>
  <c r="I42" i="9"/>
  <c r="I44" i="9" s="1"/>
  <c r="J39" i="9"/>
  <c r="J42" i="9"/>
  <c r="J44" i="9" s="1"/>
  <c r="G39" i="9"/>
  <c r="G42" i="9"/>
  <c r="G44" i="9" s="1"/>
  <c r="C42" i="9"/>
  <c r="C44" i="9" s="1"/>
  <c r="K42" i="9"/>
  <c r="K44" i="9" s="1"/>
  <c r="K39" i="9"/>
  <c r="F39" i="9"/>
  <c r="F42" i="9"/>
  <c r="F44" i="9" s="1"/>
  <c r="D42" i="9"/>
  <c r="D44" i="9" s="1"/>
  <c r="D39" i="9"/>
</calcChain>
</file>

<file path=xl/sharedStrings.xml><?xml version="1.0" encoding="utf-8"?>
<sst xmlns="http://schemas.openxmlformats.org/spreadsheetml/2006/main" count="302" uniqueCount="198">
  <si>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</si>
  <si>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</si>
  <si>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</si>
  <si>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</si>
  <si>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</si>
  <si>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</si>
  <si>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</si>
  <si>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</si>
  <si>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</si>
  <si>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</si>
  <si>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</si>
  <si>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</si>
  <si>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</si>
  <si>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</si>
  <si>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</si>
  <si>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</si>
  <si>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</si>
  <si>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</si>
  <si>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</si>
  <si>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</si>
  <si>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</si>
  <si>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</si>
  <si>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</si>
  <si>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</si>
  <si>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</si>
  <si>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</si>
  <si>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</si>
  <si>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</si>
  <si>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</si>
  <si>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</si>
  <si>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</si>
  <si>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</si>
  <si>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</si>
  <si>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</si>
  <si>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</si>
  <si>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</si>
  <si>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</si>
  <si>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</si>
  <si>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</si>
  <si>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</si>
  <si>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</si>
  <si>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</si>
  <si>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</si>
  <si>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</si>
  <si>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</si>
  <si>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</si>
  <si>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</si>
  <si>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</si>
  <si>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</si>
  <si>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</si>
  <si>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</si>
  <si>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</si>
  <si>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</si>
  <si>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</si>
  <si>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</si>
  <si>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</si>
  <si>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</si>
  <si>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</si>
  <si>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</si>
  <si>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</si>
  <si>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</si>
  <si>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</si>
  <si>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</si>
  <si>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TITAN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</si>
  <si>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</si>
  <si>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</si>
  <si>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</si>
  <si>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</si>
  <si>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</si>
  <si>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</si>
  <si>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</si>
  <si>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</si>
  <si>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</si>
  <si>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</si>
  <si>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</si>
  <si>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</si>
  <si>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</si>
  <si>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</si>
  <si>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</si>
  <si>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</si>
  <si>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</si>
  <si>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</si>
  <si>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</si>
  <si>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</si>
  <si>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</si>
  <si>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</si>
  <si>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</si>
  <si>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</si>
  <si>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</si>
  <si>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</si>
  <si>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</si>
  <si>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</si>
  <si>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</si>
  <si>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</si>
  <si>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</si>
  <si>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Income statement</t>
  </si>
  <si>
    <t>#</t>
  </si>
  <si>
    <t xml:space="preserve">Sales </t>
  </si>
  <si>
    <t>-</t>
  </si>
  <si>
    <t>COGS</t>
  </si>
  <si>
    <t xml:space="preserve">COSG % Sales </t>
  </si>
  <si>
    <t>Gross Margin</t>
  </si>
  <si>
    <t>Selling &amp; General Exp</t>
  </si>
  <si>
    <t xml:space="preserve">S&amp;G Exp % Sales </t>
  </si>
  <si>
    <t xml:space="preserve">EBITDA </t>
  </si>
  <si>
    <t>EBITDA Margin</t>
  </si>
  <si>
    <t xml:space="preserve">Interest % Sales </t>
  </si>
  <si>
    <t xml:space="preserve">Depreciation % Sales </t>
  </si>
  <si>
    <t>Gross Profit</t>
  </si>
  <si>
    <t xml:space="preserve">Earnings Before Tax </t>
  </si>
  <si>
    <t xml:space="preserve">EBT % Sales </t>
  </si>
  <si>
    <t>Effective Tax Rate</t>
  </si>
  <si>
    <t>Net Profit</t>
  </si>
  <si>
    <t>Net Margin</t>
  </si>
  <si>
    <t xml:space="preserve">No. Of Equity shares </t>
  </si>
  <si>
    <t>Dividend Per Share</t>
  </si>
  <si>
    <t xml:space="preserve">EPS Growth </t>
  </si>
  <si>
    <t>Earning Per Share</t>
  </si>
  <si>
    <t>Divident Payout Ratio</t>
  </si>
  <si>
    <t>Retained Earning</t>
  </si>
  <si>
    <t>Balance Sheet</t>
  </si>
  <si>
    <t xml:space="preserve">Total Liabilities </t>
  </si>
  <si>
    <t>Total Assets</t>
  </si>
  <si>
    <t>Fixed Assets Net Block</t>
  </si>
  <si>
    <t>Total Non Current Assets</t>
  </si>
  <si>
    <t xml:space="preserve">Total Current Assets </t>
  </si>
  <si>
    <t>Check</t>
  </si>
  <si>
    <t>Profit from operations</t>
  </si>
  <si>
    <t>Payables</t>
  </si>
  <si>
    <t>Loans Advances</t>
  </si>
  <si>
    <t>Operating borrowings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</si>
  <si>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</si>
  <si>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</si>
  <si>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</si>
  <si>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</si>
  <si>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</si>
  <si>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</si>
  <si>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</si>
  <si>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</si>
  <si>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Invest in subsidiaries</t>
  </si>
  <si>
    <t>Investment in group cos</t>
  </si>
  <si>
    <t>Acquisition of companies</t>
  </si>
  <si>
    <t>Inter corporate deposits</t>
  </si>
  <si>
    <t>Other investing items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</si>
  <si>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</si>
  <si>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</si>
  <si>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</si>
  <si>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</si>
  <si>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</si>
  <si>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</si>
  <si>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</si>
  <si>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</si>
  <si>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</si>
  <si>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Cash Flow Statements</t>
  </si>
  <si>
    <t xml:space="preserve">Cash from Operating Activities </t>
  </si>
  <si>
    <t xml:space="preserve">Operating Activities </t>
  </si>
  <si>
    <t xml:space="preserve">Investing Activities </t>
  </si>
  <si>
    <t xml:space="preserve">Cash from Investing Activities </t>
  </si>
  <si>
    <t xml:space="preserve">Financing Activities </t>
  </si>
  <si>
    <t xml:space="preserve">Cash from Financing Activities </t>
  </si>
  <si>
    <t xml:space="preserve">Sales Growth </t>
  </si>
  <si>
    <t>EBITDA Growth</t>
  </si>
  <si>
    <t xml:space="preserve">Net Profit Growth </t>
  </si>
  <si>
    <t>Dividend Growth</t>
  </si>
  <si>
    <t xml:space="preserve">Gross Margin </t>
  </si>
  <si>
    <t xml:space="preserve">EBITDA Margin </t>
  </si>
  <si>
    <t xml:space="preserve">EBIT Growth </t>
  </si>
  <si>
    <t xml:space="preserve">EBT Margin </t>
  </si>
  <si>
    <t xml:space="preserve">Net Profit Margin </t>
  </si>
  <si>
    <t xml:space="preserve">SalesExpenses%Sales </t>
  </si>
  <si>
    <t xml:space="preserve">Depreciation%Sales </t>
  </si>
  <si>
    <t>OperatingIncome%Sales</t>
  </si>
  <si>
    <t xml:space="preserve">Return on Capital Employed </t>
  </si>
  <si>
    <t>Retained Earning%</t>
  </si>
  <si>
    <t>Return on Equity%</t>
  </si>
  <si>
    <t xml:space="preserve">Self Sustainable Growth Rate </t>
  </si>
  <si>
    <t>Interest Coverage Ratio</t>
  </si>
  <si>
    <t>Debtor Turnover Ratio</t>
  </si>
  <si>
    <t>Creditor Turnover Ratio</t>
  </si>
  <si>
    <t>Inverntory Turnover</t>
  </si>
  <si>
    <t>Fixed Asset Turnover</t>
  </si>
  <si>
    <t>Capital Turnover Ratio</t>
  </si>
  <si>
    <t xml:space="preserve">Debtor Days </t>
  </si>
  <si>
    <t xml:space="preserve">Payable Days </t>
  </si>
  <si>
    <t xml:space="preserve">Inventory Days </t>
  </si>
  <si>
    <t>CFO/Sales</t>
  </si>
  <si>
    <t xml:space="preserve">CFO/Total Assets </t>
  </si>
  <si>
    <t>CFO/Total Debt</t>
  </si>
  <si>
    <t xml:space="preserve">EBIT/ Operating Margin </t>
  </si>
  <si>
    <r>
      <t xml:space="preserve">Cash Conversion Cash </t>
    </r>
    <r>
      <rPr>
        <i/>
        <sz val="11"/>
        <color theme="1"/>
        <rFont val="Calibri"/>
        <family val="2"/>
        <scheme val="minor"/>
      </rPr>
      <t>(in days)</t>
    </r>
  </si>
  <si>
    <t>Mean</t>
  </si>
  <si>
    <t xml:space="preserve">Median </t>
  </si>
  <si>
    <t>Trend</t>
  </si>
  <si>
    <t xml:space="preserve">Year weight </t>
  </si>
  <si>
    <t>Year</t>
  </si>
  <si>
    <t xml:space="preserve">Sales growth </t>
  </si>
  <si>
    <t>EBITDA</t>
  </si>
  <si>
    <t>EPS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</si>
</sst>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{&quot;₹&quot;\ #,##0.0\};\-"/>
    <numFmt numFmtId="167" formatCode="&quot;₹&quot;\ #,##0.00"/>
    <numFmt numFmtId="168" formatCode="#,##0;\(#,##0\);\-"/>
    <numFmt numFmtId="169" formatCode="&quot;₹&quot;\ #,##0;\(&quot;₹&quot;\ #,##0\)"/>
    <numFmt numFmtId="170" formatCode="&quot;₹&quot;\ #,##0.00;\(&quot;₹&quot;\ #,##0.00\);\-"/>
    <numFmt numFmtId="171" formatCode="0.00&quot;x&quot;"/>
    <numFmt numFmtId="172" formatCode="yyyy&quot;A&quot;"/>
    <numFmt numFmtId="173" formatCode="yyyy&quot;E&quot;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74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2" fillId="6" borderId="0" xfId="0" applyFont="1" applyFill="1"/>
    <xf numFmtId="17" fontId="2" fillId="6" borderId="0" xfId="0" applyNumberFormat="1" applyFont="1" applyFill="1"/>
    <xf numFmtId="17" fontId="2" fillId="6" borderId="0" xfId="0" applyNumberFormat="1" applyFont="1" applyFill="1" applyAlignment="1">
      <alignment horizontal="right"/>
    </xf>
    <xf numFmtId="166" fontId="0" fillId="0" borderId="0" xfId="0" applyNumberFormat="1" applyAlignment="1">
      <alignment horizontal="right"/>
    </xf>
    <xf numFmtId="0" fontId="10" fillId="0" borderId="0" xfId="0" applyFont="1"/>
    <xf numFmtId="10" fontId="10" fillId="0" borderId="0" xfId="6" applyNumberFormat="1" applyFont="1"/>
    <xf numFmtId="167" fontId="0" fillId="0" borderId="0" xfId="0" applyNumberFormat="1"/>
    <xf numFmtId="0" fontId="1" fillId="7" borderId="0" xfId="0" applyFont="1" applyFill="1"/>
    <xf numFmtId="0" fontId="0" fillId="7" borderId="0" xfId="0" applyFill="1"/>
    <xf numFmtId="0" fontId="2" fillId="0" borderId="0" xfId="0" applyFont="1"/>
    <xf numFmtId="17" fontId="2" fillId="0" borderId="0" xfId="0" applyNumberFormat="1" applyFont="1"/>
    <xf numFmtId="17" fontId="2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2" fontId="0" fillId="0" borderId="0" xfId="0" applyNumberFormat="1"/>
    <xf numFmtId="168" fontId="0" fillId="0" borderId="0" xfId="0" applyNumberFormat="1"/>
    <xf numFmtId="10" fontId="0" fillId="0" borderId="0" xfId="6" applyNumberFormat="1" applyFont="1"/>
    <xf numFmtId="169" fontId="0" fillId="0" borderId="0" xfId="0" applyNumberFormat="1"/>
    <xf numFmtId="17" fontId="0" fillId="0" borderId="0" xfId="0" applyNumberFormat="1"/>
    <xf numFmtId="3" fontId="0" fillId="0" borderId="0" xfId="0" applyNumberFormat="1"/>
    <xf numFmtId="170" fontId="0" fillId="0" borderId="0" xfId="0" applyNumberFormat="1"/>
    <xf numFmtId="170" fontId="1" fillId="0" borderId="0" xfId="0" applyNumberFormat="1" applyFont="1"/>
    <xf numFmtId="0" fontId="1" fillId="0" borderId="1" xfId="0" applyFont="1" applyBorder="1"/>
    <xf numFmtId="167" fontId="1" fillId="0" borderId="1" xfId="0" applyNumberFormat="1" applyFont="1" applyBorder="1"/>
    <xf numFmtId="0" fontId="0" fillId="0" borderId="2" xfId="0" applyBorder="1"/>
    <xf numFmtId="10" fontId="0" fillId="0" borderId="2" xfId="0" applyNumberFormat="1" applyBorder="1"/>
    <xf numFmtId="0" fontId="0" fillId="0" borderId="3" xfId="0" applyBorder="1"/>
    <xf numFmtId="10" fontId="0" fillId="0" borderId="3" xfId="0" applyNumberFormat="1" applyBorder="1"/>
    <xf numFmtId="10" fontId="0" fillId="0" borderId="2" xfId="6" applyNumberFormat="1" applyFont="1" applyBorder="1"/>
    <xf numFmtId="10" fontId="0" fillId="0" borderId="0" xfId="6" applyNumberFormat="1" applyFont="1" applyBorder="1"/>
    <xf numFmtId="171" fontId="0" fillId="0" borderId="3" xfId="0" applyNumberFormat="1" applyBorder="1"/>
    <xf numFmtId="171" fontId="0" fillId="0" borderId="2" xfId="0" applyNumberFormat="1" applyBorder="1"/>
    <xf numFmtId="171" fontId="0" fillId="0" borderId="0" xfId="0" applyNumberFormat="1"/>
    <xf numFmtId="1" fontId="0" fillId="0" borderId="2" xfId="0" applyNumberFormat="1" applyBorder="1"/>
    <xf numFmtId="1" fontId="0" fillId="0" borderId="0" xfId="0" applyNumberFormat="1"/>
    <xf numFmtId="1" fontId="0" fillId="0" borderId="3" xfId="0" applyNumberFormat="1" applyBorder="1"/>
    <xf numFmtId="10" fontId="0" fillId="0" borderId="3" xfId="6" applyNumberFormat="1" applyFont="1" applyBorder="1"/>
    <xf numFmtId="17" fontId="2" fillId="6" borderId="0" xfId="0" applyNumberFormat="1" applyFont="1" applyFill="1" applyAlignment="1">
      <alignment horizontal="center"/>
    </xf>
    <xf numFmtId="0" fontId="12" fillId="8" borderId="0" xfId="0" applyFont="1" applyFill="1" applyAlignment="1">
      <alignment horizontal="left"/>
    </xf>
    <xf numFmtId="0" fontId="12" fillId="8" borderId="0" xfId="0" applyFont="1" applyFill="1" applyAlignment="1">
      <alignment horizontal="right"/>
    </xf>
    <xf numFmtId="172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0" fontId="0" fillId="9" borderId="0" xfId="0" applyFill="1" applyAlignment="1">
      <alignment horizontal="left"/>
    </xf>
    <xf numFmtId="173" fontId="0" fillId="9" borderId="0" xfId="0" applyNumberFormat="1" applyFill="1" applyAlignment="1">
      <alignment horizontal="right"/>
    </xf>
    <xf numFmtId="2" fontId="0" fillId="9" borderId="0" xfId="0" applyNumberFormat="1" applyFill="1"/>
    <xf numFmtId="10" fontId="0" fillId="9" borderId="0" xfId="6" applyNumberFormat="1" applyFont="1" applyFill="1"/>
    <xf numFmtId="0" fontId="2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81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TITAN COMPANY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13260.83</v>
      </c>
      <c r="C4" s="1">
        <f>'Data Sheet'!C17</f>
        <v>16119.77</v>
      </c>
      <c r="D4" s="1">
        <f>'Data Sheet'!D17</f>
        <v>19778.52</v>
      </c>
      <c r="E4" s="1">
        <f>'Data Sheet'!E17</f>
        <v>21052</v>
      </c>
      <c r="F4" s="1">
        <f>'Data Sheet'!F17</f>
        <v>21644</v>
      </c>
      <c r="G4" s="1">
        <f>'Data Sheet'!G17</f>
        <v>28799</v>
      </c>
      <c r="H4" s="1">
        <f>'Data Sheet'!H17</f>
        <v>40575</v>
      </c>
      <c r="I4" s="1">
        <f>'Data Sheet'!I17</f>
        <v>51084</v>
      </c>
      <c r="J4" s="1">
        <f>'Data Sheet'!J17</f>
        <v>60456</v>
      </c>
      <c r="K4" s="1">
        <f>'Data Sheet'!K17</f>
        <v>87584</v>
      </c>
      <c r="L4" s="1">
        <f>SUM(Quarters!H4:K4)</f>
        <v>87584</v>
      </c>
      <c r="M4" s="1">
        <f>$K4+M23*K4</f>
        <v>126884.95858144766</v>
      </c>
      <c r="N4" s="1">
        <f>$K4+N23*L4</f>
        <v>108023.85512295051</v>
      </c>
    </row>
    <row r="5" spans="1:14" x14ac:dyDescent="0.35">
      <c r="A5" t="s">
        <v>7</v>
      </c>
      <c r="B5" s="6">
        <f>SUM('Data Sheet'!B18,'Data Sheet'!B20:B24, -1*'Data Sheet'!B19)</f>
        <v>12096.93</v>
      </c>
      <c r="C5" s="6">
        <f>SUM('Data Sheet'!C18,'Data Sheet'!C20:C24, -1*'Data Sheet'!C19)</f>
        <v>14475.569999999998</v>
      </c>
      <c r="D5" s="6">
        <f>SUM('Data Sheet'!D18,'Data Sheet'!D20:D24, -1*'Data Sheet'!D19)</f>
        <v>17784.73</v>
      </c>
      <c r="E5" s="6">
        <f>SUM('Data Sheet'!E18,'Data Sheet'!E20:E24, -1*'Data Sheet'!E19)</f>
        <v>18589</v>
      </c>
      <c r="F5" s="6">
        <f>SUM('Data Sheet'!F18,'Data Sheet'!F20:F24, -1*'Data Sheet'!F19)</f>
        <v>19919</v>
      </c>
      <c r="G5" s="6">
        <f>SUM('Data Sheet'!G18,'Data Sheet'!G20:G24, -1*'Data Sheet'!G19)</f>
        <v>25455</v>
      </c>
      <c r="H5" s="6">
        <f>SUM('Data Sheet'!H18,'Data Sheet'!H20:H24, -1*'Data Sheet'!H19)</f>
        <v>35693</v>
      </c>
      <c r="I5" s="6">
        <f>SUM('Data Sheet'!I18,'Data Sheet'!I20:I24, -1*'Data Sheet'!I19)</f>
        <v>45792</v>
      </c>
      <c r="J5" s="6">
        <f>SUM('Data Sheet'!J18,'Data Sheet'!J20:J24, -1*'Data Sheet'!J19)</f>
        <v>54762</v>
      </c>
      <c r="K5" s="6">
        <f>SUM('Data Sheet'!K18,'Data Sheet'!K20:K24, -1*'Data Sheet'!K19)</f>
        <v>79229</v>
      </c>
      <c r="L5" s="6">
        <f>SUM(Quarters!H5:K5)</f>
        <v>79228</v>
      </c>
      <c r="M5" s="6">
        <f t="shared" ref="M5:N5" si="0">M4-M6</f>
        <v>114560.5678303389</v>
      </c>
      <c r="N5" s="6">
        <f t="shared" si="0"/>
        <v>97717.779430959112</v>
      </c>
    </row>
    <row r="6" spans="1:14" s="2" customFormat="1" x14ac:dyDescent="0.35">
      <c r="A6" s="2" t="s">
        <v>8</v>
      </c>
      <c r="B6" s="1">
        <f>B4-B5</f>
        <v>1163.8999999999996</v>
      </c>
      <c r="C6" s="1">
        <f t="shared" ref="C6:K6" si="1">C4-C5</f>
        <v>1644.2000000000025</v>
      </c>
      <c r="D6" s="1">
        <f t="shared" si="1"/>
        <v>1993.7900000000009</v>
      </c>
      <c r="E6" s="1">
        <f t="shared" si="1"/>
        <v>2463</v>
      </c>
      <c r="F6" s="1">
        <f t="shared" si="1"/>
        <v>1725</v>
      </c>
      <c r="G6" s="1">
        <f t="shared" si="1"/>
        <v>3344</v>
      </c>
      <c r="H6" s="1">
        <f t="shared" si="1"/>
        <v>4882</v>
      </c>
      <c r="I6" s="1">
        <f t="shared" si="1"/>
        <v>5292</v>
      </c>
      <c r="J6" s="1">
        <f t="shared" si="1"/>
        <v>5694</v>
      </c>
      <c r="K6" s="1">
        <f t="shared" si="1"/>
        <v>8355</v>
      </c>
      <c r="L6" s="1">
        <f>SUM(Quarters!H6:K6)</f>
        <v>8356</v>
      </c>
      <c r="M6" s="1">
        <f>M4*M24</f>
        <v>12324.390751108753</v>
      </c>
      <c r="N6" s="1">
        <f>N4*N24</f>
        <v>10306.075691991397</v>
      </c>
    </row>
    <row r="7" spans="1:14" x14ac:dyDescent="0.35">
      <c r="A7" t="s">
        <v>9</v>
      </c>
      <c r="B7" s="6">
        <f>'Data Sheet'!B25</f>
        <v>-42.38</v>
      </c>
      <c r="C7" s="6">
        <f>'Data Sheet'!C25</f>
        <v>69.930000000000007</v>
      </c>
      <c r="D7" s="6">
        <f>'Data Sheet'!D25</f>
        <v>178.48</v>
      </c>
      <c r="E7" s="6">
        <f>'Data Sheet'!E25</f>
        <v>153</v>
      </c>
      <c r="F7" s="6">
        <f>'Data Sheet'!F25</f>
        <v>180</v>
      </c>
      <c r="G7" s="6">
        <f>'Data Sheet'!G25</f>
        <v>177</v>
      </c>
      <c r="H7" s="6">
        <f>'Data Sheet'!H25</f>
        <v>306</v>
      </c>
      <c r="I7" s="6">
        <f>'Data Sheet'!I25</f>
        <v>534</v>
      </c>
      <c r="J7" s="6">
        <f>'Data Sheet'!J25</f>
        <v>487</v>
      </c>
      <c r="K7" s="6">
        <f>'Data Sheet'!K25</f>
        <v>452</v>
      </c>
      <c r="L7" s="6">
        <f>SUM(Quarters!H7:K7)</f>
        <v>452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110.53</v>
      </c>
      <c r="C8" s="6">
        <f>'Data Sheet'!C26</f>
        <v>131.43</v>
      </c>
      <c r="D8" s="6">
        <f>'Data Sheet'!D26</f>
        <v>162.84</v>
      </c>
      <c r="E8" s="6">
        <f>'Data Sheet'!E26</f>
        <v>348</v>
      </c>
      <c r="F8" s="6">
        <f>'Data Sheet'!F26</f>
        <v>375</v>
      </c>
      <c r="G8" s="6">
        <f>'Data Sheet'!G26</f>
        <v>399</v>
      </c>
      <c r="H8" s="6">
        <f>'Data Sheet'!H26</f>
        <v>441</v>
      </c>
      <c r="I8" s="6">
        <f>'Data Sheet'!I26</f>
        <v>584</v>
      </c>
      <c r="J8" s="6">
        <f>'Data Sheet'!J26</f>
        <v>693</v>
      </c>
      <c r="K8" s="6">
        <f>'Data Sheet'!K26</f>
        <v>826</v>
      </c>
      <c r="L8" s="6">
        <f>SUM(Quarters!H8:K8)</f>
        <v>826</v>
      </c>
      <c r="M8" s="6">
        <f>+$L8</f>
        <v>826</v>
      </c>
      <c r="N8" s="6">
        <f>+$L8</f>
        <v>826</v>
      </c>
    </row>
    <row r="9" spans="1:14" x14ac:dyDescent="0.35">
      <c r="A9" t="s">
        <v>11</v>
      </c>
      <c r="B9" s="6">
        <f>'Data Sheet'!B27</f>
        <v>37.74</v>
      </c>
      <c r="C9" s="6">
        <f>'Data Sheet'!C27</f>
        <v>52.92</v>
      </c>
      <c r="D9" s="6">
        <f>'Data Sheet'!D27</f>
        <v>52.54</v>
      </c>
      <c r="E9" s="6">
        <f>'Data Sheet'!E27</f>
        <v>166</v>
      </c>
      <c r="F9" s="6">
        <f>'Data Sheet'!F27</f>
        <v>203</v>
      </c>
      <c r="G9" s="6">
        <f>'Data Sheet'!G27</f>
        <v>218</v>
      </c>
      <c r="H9" s="6">
        <f>'Data Sheet'!H27</f>
        <v>300</v>
      </c>
      <c r="I9" s="6">
        <f>'Data Sheet'!I27</f>
        <v>619</v>
      </c>
      <c r="J9" s="6">
        <f>'Data Sheet'!J27</f>
        <v>953</v>
      </c>
      <c r="K9" s="6">
        <f>'Data Sheet'!K27</f>
        <v>1180</v>
      </c>
      <c r="L9" s="6">
        <f>SUM(Quarters!H9:K9)</f>
        <v>1180</v>
      </c>
      <c r="M9" s="6">
        <f>+$L9</f>
        <v>1180</v>
      </c>
      <c r="N9" s="6">
        <f>+$L9</f>
        <v>1180</v>
      </c>
    </row>
    <row r="10" spans="1:14" x14ac:dyDescent="0.35">
      <c r="A10" t="s">
        <v>12</v>
      </c>
      <c r="B10" s="6">
        <f>'Data Sheet'!B28</f>
        <v>973.25</v>
      </c>
      <c r="C10" s="6">
        <f>'Data Sheet'!C28</f>
        <v>1529.78</v>
      </c>
      <c r="D10" s="6">
        <f>'Data Sheet'!D28</f>
        <v>1956.89</v>
      </c>
      <c r="E10" s="6">
        <f>'Data Sheet'!E28</f>
        <v>2102</v>
      </c>
      <c r="F10" s="6">
        <f>'Data Sheet'!F28</f>
        <v>1327</v>
      </c>
      <c r="G10" s="6">
        <f>'Data Sheet'!G28</f>
        <v>2904</v>
      </c>
      <c r="H10" s="6">
        <f>'Data Sheet'!H28</f>
        <v>4447</v>
      </c>
      <c r="I10" s="6">
        <f>'Data Sheet'!I28</f>
        <v>4623</v>
      </c>
      <c r="J10" s="6">
        <f>'Data Sheet'!J28</f>
        <v>4535</v>
      </c>
      <c r="K10" s="6">
        <f>'Data Sheet'!K28</f>
        <v>6801</v>
      </c>
      <c r="L10" s="6">
        <f>SUM(Quarters!H10:K10)</f>
        <v>6802</v>
      </c>
      <c r="M10" s="6">
        <f>M6+M7-SUM(M8:M9)</f>
        <v>10318.390751108753</v>
      </c>
      <c r="N10" s="6">
        <f>N6+N7-SUM(N8:N9)</f>
        <v>8300.0756919913965</v>
      </c>
    </row>
    <row r="11" spans="1:14" x14ac:dyDescent="0.35">
      <c r="A11" t="s">
        <v>13</v>
      </c>
      <c r="B11" s="6">
        <f>'Data Sheet'!B29</f>
        <v>275.97000000000003</v>
      </c>
      <c r="C11" s="6">
        <f>'Data Sheet'!C29</f>
        <v>427.87</v>
      </c>
      <c r="D11" s="6">
        <f>'Data Sheet'!D29</f>
        <v>568.24</v>
      </c>
      <c r="E11" s="6">
        <f>'Data Sheet'!E29</f>
        <v>609</v>
      </c>
      <c r="F11" s="6">
        <f>'Data Sheet'!F29</f>
        <v>353</v>
      </c>
      <c r="G11" s="6">
        <f>'Data Sheet'!G29</f>
        <v>706</v>
      </c>
      <c r="H11" s="6">
        <f>'Data Sheet'!H29</f>
        <v>1173</v>
      </c>
      <c r="I11" s="6">
        <f>'Data Sheet'!I29</f>
        <v>1127</v>
      </c>
      <c r="J11" s="6">
        <f>'Data Sheet'!J29</f>
        <v>1198</v>
      </c>
      <c r="K11" s="6">
        <f>'Data Sheet'!K29</f>
        <v>1728</v>
      </c>
      <c r="L11" s="6">
        <f>SUM(Quarters!H11:K11)</f>
        <v>1728</v>
      </c>
      <c r="M11" s="7">
        <f>IF($L10&gt;0,$L11/$L10,0)</f>
        <v>0.25404292855042637</v>
      </c>
      <c r="N11" s="7">
        <f>IF($L10&gt;0,$L11/$L10,0)</f>
        <v>0.25404292855042637</v>
      </c>
    </row>
    <row r="12" spans="1:14" s="2" customFormat="1" x14ac:dyDescent="0.35">
      <c r="A12" s="2" t="s">
        <v>14</v>
      </c>
      <c r="B12" s="1">
        <f>'Data Sheet'!B30</f>
        <v>711.47</v>
      </c>
      <c r="C12" s="1">
        <f>'Data Sheet'!C30</f>
        <v>1130.0899999999999</v>
      </c>
      <c r="D12" s="1">
        <f>'Data Sheet'!D30</f>
        <v>1404.15</v>
      </c>
      <c r="E12" s="1">
        <f>'Data Sheet'!E30</f>
        <v>1501</v>
      </c>
      <c r="F12" s="1">
        <f>'Data Sheet'!F30</f>
        <v>973</v>
      </c>
      <c r="G12" s="1">
        <f>'Data Sheet'!G30</f>
        <v>2173</v>
      </c>
      <c r="H12" s="1">
        <f>'Data Sheet'!H30</f>
        <v>3250</v>
      </c>
      <c r="I12" s="1">
        <f>'Data Sheet'!I30</f>
        <v>3496</v>
      </c>
      <c r="J12" s="1">
        <f>'Data Sheet'!J30</f>
        <v>3337</v>
      </c>
      <c r="K12" s="1">
        <f>'Data Sheet'!K30</f>
        <v>5073</v>
      </c>
      <c r="L12" s="1">
        <f>SUM(Quarters!H12:K12)</f>
        <v>5074</v>
      </c>
      <c r="M12" s="1">
        <f>M10-M11*M10</f>
        <v>7697.0765467694509</v>
      </c>
      <c r="N12" s="1">
        <f>N10-N11*N10</f>
        <v>6191.5001560076953</v>
      </c>
    </row>
    <row r="13" spans="1:14" x14ac:dyDescent="0.35">
      <c r="A13" t="s">
        <v>57</v>
      </c>
      <c r="B13" s="6">
        <f>IF('Data Sheet'!B93&gt;0,B12/'Data Sheet'!B93,0)</f>
        <v>8.0138544717278677</v>
      </c>
      <c r="C13" s="6">
        <f>IF('Data Sheet'!C93&gt;0,C12/'Data Sheet'!C93,0)</f>
        <v>12.729105654426672</v>
      </c>
      <c r="D13" s="6">
        <f>IF('Data Sheet'!D93&gt;0,D12/'Data Sheet'!D93,0)</f>
        <v>15.816062176165804</v>
      </c>
      <c r="E13" s="6">
        <f>IF('Data Sheet'!E93&gt;0,E12/'Data Sheet'!E93,0)</f>
        <v>16.90696102725839</v>
      </c>
      <c r="F13" s="6">
        <f>IF('Data Sheet'!F93&gt;0,F12/'Data Sheet'!F93,0)</f>
        <v>10.959675602613201</v>
      </c>
      <c r="G13" s="6">
        <f>IF('Data Sheet'!G93&gt;0,G12/'Data Sheet'!G93,0)</f>
        <v>24.476233385897725</v>
      </c>
      <c r="H13" s="6">
        <f>IF('Data Sheet'!H93&gt;0,H12/'Data Sheet'!H93,0)</f>
        <v>36.607343996395585</v>
      </c>
      <c r="I13" s="6">
        <f>IF('Data Sheet'!I93&gt;0,I12/'Data Sheet'!I93,0)</f>
        <v>39.37823834196891</v>
      </c>
      <c r="J13" s="6">
        <f>IF('Data Sheet'!J93&gt;0,J12/'Data Sheet'!J93,0)</f>
        <v>37.58729443568371</v>
      </c>
      <c r="K13" s="6">
        <f>IF('Data Sheet'!K93&gt;0,K12/'Data Sheet'!K93,0)</f>
        <v>57.141248028835321</v>
      </c>
      <c r="L13" s="6">
        <f>IF('Data Sheet'!$B6&gt;0,'Profit &amp; Loss'!L12/'Data Sheet'!$B6,0)</f>
        <v>57.153398695496676</v>
      </c>
      <c r="M13" s="6">
        <f>IF('Data Sheet'!$B6&gt;0,'Profit &amp; Loss'!M12/'Data Sheet'!$B6,0)</f>
        <v>86.699661936789752</v>
      </c>
      <c r="N13" s="6">
        <f>IF('Data Sheet'!$B6&gt;0,'Profit &amp; Loss'!N12/'Data Sheet'!$B6,0)</f>
        <v>69.7408902127587</v>
      </c>
    </row>
    <row r="14" spans="1:14" x14ac:dyDescent="0.35">
      <c r="A14" t="s">
        <v>16</v>
      </c>
      <c r="B14" s="6">
        <f>IF(B15&gt;0,B15/B13,"")</f>
        <v>57.74374885799822</v>
      </c>
      <c r="C14" s="6">
        <f t="shared" ref="C14:K14" si="2">IF(C15&gt;0,C15/C13,"")</f>
        <v>74.027196064030306</v>
      </c>
      <c r="D14" s="6">
        <f t="shared" si="2"/>
        <v>72.195593775593764</v>
      </c>
      <c r="E14" s="6">
        <f t="shared" si="2"/>
        <v>55.225773484343776</v>
      </c>
      <c r="F14" s="6">
        <f t="shared" si="2"/>
        <v>142.16205447070914</v>
      </c>
      <c r="G14" s="6">
        <f t="shared" si="2"/>
        <v>103.61684169351128</v>
      </c>
      <c r="H14" s="6">
        <f t="shared" si="2"/>
        <v>68.699329846153844</v>
      </c>
      <c r="I14" s="6">
        <f t="shared" si="2"/>
        <v>96.545710526315801</v>
      </c>
      <c r="J14" s="6">
        <f t="shared" si="2"/>
        <v>81.499614324243339</v>
      </c>
      <c r="K14" s="6">
        <f t="shared" si="2"/>
        <v>69.151447269860043</v>
      </c>
      <c r="L14" s="6">
        <f t="shared" ref="L14" si="3">IF(L13&gt;0,L15/L13,0)</f>
        <v>77.156391407173828</v>
      </c>
      <c r="M14" s="6">
        <f>M25</f>
        <v>81.08829088189826</v>
      </c>
      <c r="N14" s="6">
        <f>N25</f>
        <v>77.156391407173828</v>
      </c>
    </row>
    <row r="15" spans="1:14" s="2" customFormat="1" x14ac:dyDescent="0.35">
      <c r="A15" s="2" t="s">
        <v>58</v>
      </c>
      <c r="B15" s="1">
        <f>'Data Sheet'!B90</f>
        <v>462.75</v>
      </c>
      <c r="C15" s="1">
        <f>'Data Sheet'!C90</f>
        <v>942.3</v>
      </c>
      <c r="D15" s="1">
        <f>'Data Sheet'!D90</f>
        <v>1141.8499999999999</v>
      </c>
      <c r="E15" s="1">
        <f>'Data Sheet'!E90</f>
        <v>933.7</v>
      </c>
      <c r="F15" s="1">
        <f>'Data Sheet'!F90</f>
        <v>1558.05</v>
      </c>
      <c r="G15" s="1">
        <f>'Data Sheet'!G90</f>
        <v>2536.15</v>
      </c>
      <c r="H15" s="1">
        <f>'Data Sheet'!H90</f>
        <v>2514.9</v>
      </c>
      <c r="I15" s="1">
        <f>'Data Sheet'!I90</f>
        <v>3801.8</v>
      </c>
      <c r="J15" s="1">
        <f>'Data Sheet'!J90</f>
        <v>3063.35</v>
      </c>
      <c r="K15" s="1">
        <f>'Data Sheet'!K90</f>
        <v>3951.4</v>
      </c>
      <c r="L15" s="1">
        <f>'Data Sheet'!B8</f>
        <v>4409.75</v>
      </c>
      <c r="M15" s="8">
        <f>M13*M14</f>
        <v>7030.32740649265</v>
      </c>
      <c r="N15" s="9">
        <f>N13*N14</f>
        <v>5380.9554223403484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0.32444094620995967</v>
      </c>
      <c r="C18" s="5">
        <f>IF('Data Sheet'!C30&gt;0, 'Data Sheet'!C31/'Data Sheet'!C30, 0)</f>
        <v>0.29459600562787036</v>
      </c>
      <c r="D18" s="5">
        <f>IF('Data Sheet'!D30&gt;0, 'Data Sheet'!D31/'Data Sheet'!D30, 0)</f>
        <v>0.31613431613431608</v>
      </c>
      <c r="E18" s="5">
        <f>IF('Data Sheet'!E30&gt;0, 'Data Sheet'!E31/'Data Sheet'!E30, 0)</f>
        <v>0.23717521652231846</v>
      </c>
      <c r="F18" s="5">
        <f>IF('Data Sheet'!F30&gt;0, 'Data Sheet'!F31/'Data Sheet'!F30, 0)</f>
        <v>0.3658787255909558</v>
      </c>
      <c r="G18" s="5">
        <f>IF('Data Sheet'!G30&gt;0, 'Data Sheet'!G31/'Data Sheet'!G30, 0)</f>
        <v>0.3071790151863783</v>
      </c>
      <c r="H18" s="5">
        <f>IF('Data Sheet'!H30&gt;0, 'Data Sheet'!H31/'Data Sheet'!H30, 0)</f>
        <v>0.27384615384615385</v>
      </c>
      <c r="I18" s="5">
        <f>IF('Data Sheet'!I30&gt;0, 'Data Sheet'!I31/'Data Sheet'!I30, 0)</f>
        <v>0.28003432494279173</v>
      </c>
      <c r="J18" s="5">
        <f>IF('Data Sheet'!J30&gt;0, 'Data Sheet'!J31/'Data Sheet'!J30, 0)</f>
        <v>0.29337728498651483</v>
      </c>
      <c r="K18" s="5">
        <f>IF('Data Sheet'!K30&gt;0, 'Data Sheet'!K31/'Data Sheet'!K30, 0)</f>
        <v>0.26315789473684209</v>
      </c>
    </row>
    <row r="19" spans="1:14" x14ac:dyDescent="0.35">
      <c r="A19" t="s">
        <v>18</v>
      </c>
      <c r="B19" s="5">
        <f t="shared" ref="B19:L19" si="4">IF(B6&gt;0,B6/B4,0)</f>
        <v>8.7769770067182798E-2</v>
      </c>
      <c r="C19" s="5">
        <f t="shared" ref="C19:K19" si="5">IF(C6&gt;0,C6/C4,0)</f>
        <v>0.10199897393076963</v>
      </c>
      <c r="D19" s="5">
        <f t="shared" si="5"/>
        <v>0.10080582369156038</v>
      </c>
      <c r="E19" s="5">
        <f t="shared" si="5"/>
        <v>0.1169960098802964</v>
      </c>
      <c r="F19" s="5">
        <f t="shared" si="5"/>
        <v>7.9698761781556091E-2</v>
      </c>
      <c r="G19" s="5">
        <f t="shared" si="5"/>
        <v>0.11611514288690579</v>
      </c>
      <c r="H19" s="5">
        <f t="shared" si="5"/>
        <v>0.12032039433148491</v>
      </c>
      <c r="I19" s="5">
        <f t="shared" si="5"/>
        <v>0.10359408033826638</v>
      </c>
      <c r="J19" s="5">
        <f t="shared" si="5"/>
        <v>9.4184200079396582E-2</v>
      </c>
      <c r="K19" s="5">
        <f t="shared" si="5"/>
        <v>9.5394135915235656E-2</v>
      </c>
      <c r="L19" s="5">
        <f t="shared" si="4"/>
        <v>9.5405553525758136E-2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0.23337430492955913</v>
      </c>
      <c r="I23" s="5">
        <f>IF(D4=0,"",POWER($K4/D4,1/7)-1)</f>
        <v>0.2368547809508752</v>
      </c>
      <c r="J23" s="5">
        <f>IF(F4=0,"",POWER($K4/F4,1/5)-1)</f>
        <v>0.32256629311826401</v>
      </c>
      <c r="K23" s="5">
        <f>IF(H4=0,"",POWER($K4/H4, 1/3)-1)</f>
        <v>0.29237559737181407</v>
      </c>
      <c r="L23" s="5">
        <f>IF(ISERROR(MAX(IF(J4=0,"",(K4-J4)/J4),IF(K4=0,"",(L4-K4)/K4))),"",MAX(IF(J4=0,"",(K4-J4)/J4),IF(K4=0,"",(L4-K4)/K4)))</f>
        <v>0.44872303824268889</v>
      </c>
      <c r="M23" s="16">
        <f>MAX(K23:L23)</f>
        <v>0.44872303824268889</v>
      </c>
      <c r="N23" s="16">
        <f>MIN(H23:L23)</f>
        <v>0.23337430492955913</v>
      </c>
    </row>
    <row r="24" spans="1:14" x14ac:dyDescent="0.35">
      <c r="G24" t="s">
        <v>18</v>
      </c>
      <c r="H24" s="5">
        <f>IF(SUM(B4:$K$4)=0,"",SUMPRODUCT(B19:$K$19,B4:$K$4)/SUM(B4:$K$4))</f>
        <v>0.10144740803132217</v>
      </c>
      <c r="I24" s="5">
        <f>IF(SUM(E4:$K$4)=0,"",SUMPRODUCT(E19:$K$19,E4:$K$4)/SUM(E4:$K$4))</f>
        <v>0.10204245583141063</v>
      </c>
      <c r="J24" s="5">
        <f>IF(SUM(G4:$K$4)=0,"",SUMPRODUCT(G19:$K$19,G4:$K$4)/SUM(G4:$K$4))</f>
        <v>0.10267115583728743</v>
      </c>
      <c r="K24" s="5">
        <f>IF(SUM(I4:$K$4)=0, "", SUMPRODUCT(I19:$K$19,I4:$K$4)/SUM(I4:$K$4))</f>
        <v>9.7130431289046026E-2</v>
      </c>
      <c r="L24" s="5">
        <f>L19</f>
        <v>9.5405553525758136E-2</v>
      </c>
      <c r="M24" s="16">
        <f>MAX(K24:L24)</f>
        <v>9.7130431289046026E-2</v>
      </c>
      <c r="N24" s="16">
        <f>MIN(H24:L24)</f>
        <v>9.5405553525758136E-2</v>
      </c>
    </row>
    <row r="25" spans="1:14" x14ac:dyDescent="0.35">
      <c r="G25" t="s">
        <v>23</v>
      </c>
      <c r="H25" s="6">
        <f>IF(ISERROR(AVERAGEIF(B14:$L14,"&gt;0")),"",AVERAGEIF(B14:$L14,"&gt;0"))</f>
        <v>81.638518338175757</v>
      </c>
      <c r="I25" s="6">
        <f>IF(ISERROR(AVERAGEIF(E14:$L14,"&gt;0")),"",AVERAGEIF(E14:$L14,"&gt;0"))</f>
        <v>86.757145377788873</v>
      </c>
      <c r="J25" s="6">
        <f>IF(ISERROR(AVERAGEIF(G14:$L14,"&gt;0")),"",AVERAGEIF(G14:$L14,"&gt;0"))</f>
        <v>82.778222511209691</v>
      </c>
      <c r="K25" s="6">
        <f>IF(ISERROR(AVERAGEIF(I14:$L14,"&gt;0")),"",AVERAGEIF(I14:$L14,"&gt;0"))</f>
        <v>81.08829088189826</v>
      </c>
      <c r="L25" s="6">
        <f>L14</f>
        <v>77.156391407173828</v>
      </c>
      <c r="M25" s="1">
        <f>MAX(K25:L25)</f>
        <v>81.08829088189826</v>
      </c>
      <c r="N25" s="1">
        <f>MIN(H25:L25)</f>
        <v>77.156391407173828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TITAN COMPANY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x14ac:dyDescent="0.35">
      <c r="A4" s="2" t="s">
        <v>6</v>
      </c>
      <c r="B4" s="1">
        <f>'Data Sheet'!B42</f>
        <v>14164</v>
      </c>
      <c r="C4" s="1">
        <f>'Data Sheet'!C42</f>
        <v>12494</v>
      </c>
      <c r="D4" s="1">
        <f>'Data Sheet'!D42</f>
        <v>13266</v>
      </c>
      <c r="E4" s="1">
        <f>'Data Sheet'!E42</f>
        <v>14534</v>
      </c>
      <c r="F4" s="1">
        <f>'Data Sheet'!F42</f>
        <v>17740</v>
      </c>
      <c r="G4" s="1">
        <f>'Data Sheet'!G42</f>
        <v>14916</v>
      </c>
      <c r="H4" s="1">
        <f>'Data Sheet'!H42</f>
        <v>16523</v>
      </c>
      <c r="I4" s="1">
        <f>'Data Sheet'!I42</f>
        <v>18725</v>
      </c>
      <c r="J4" s="1">
        <f>'Data Sheet'!J42</f>
        <v>25416</v>
      </c>
      <c r="K4" s="1">
        <f>'Data Sheet'!K42</f>
        <v>26920</v>
      </c>
    </row>
    <row r="5" spans="1:11" x14ac:dyDescent="0.35">
      <c r="A5" t="s">
        <v>7</v>
      </c>
      <c r="B5" s="6">
        <f>'Data Sheet'!B43</f>
        <v>12599</v>
      </c>
      <c r="C5" s="6">
        <f>'Data Sheet'!C43</f>
        <v>11303</v>
      </c>
      <c r="D5" s="6">
        <f>'Data Sheet'!D43</f>
        <v>12019</v>
      </c>
      <c r="E5" s="6">
        <f>'Data Sheet'!E43</f>
        <v>13298</v>
      </c>
      <c r="F5" s="6">
        <f>'Data Sheet'!F43</f>
        <v>16066</v>
      </c>
      <c r="G5" s="6">
        <f>'Data Sheet'!G43</f>
        <v>13379</v>
      </c>
      <c r="H5" s="6">
        <f>'Data Sheet'!H43</f>
        <v>14693</v>
      </c>
      <c r="I5" s="6">
        <f>'Data Sheet'!I43</f>
        <v>16850</v>
      </c>
      <c r="J5" s="6">
        <f>'Data Sheet'!J43</f>
        <v>22703</v>
      </c>
      <c r="K5" s="6">
        <f>'Data Sheet'!K43</f>
        <v>24982</v>
      </c>
    </row>
    <row r="6" spans="1:11" s="2" customFormat="1" x14ac:dyDescent="0.35">
      <c r="A6" s="2" t="s">
        <v>8</v>
      </c>
      <c r="B6" s="1">
        <f>'Data Sheet'!B50</f>
        <v>1565</v>
      </c>
      <c r="C6" s="1">
        <f>'Data Sheet'!C50</f>
        <v>1191</v>
      </c>
      <c r="D6" s="1">
        <f>'Data Sheet'!D50</f>
        <v>1247</v>
      </c>
      <c r="E6" s="1">
        <f>'Data Sheet'!E50</f>
        <v>1236</v>
      </c>
      <c r="F6" s="1">
        <f>'Data Sheet'!F50</f>
        <v>1674</v>
      </c>
      <c r="G6" s="1">
        <f>'Data Sheet'!G50</f>
        <v>1537</v>
      </c>
      <c r="H6" s="1">
        <f>'Data Sheet'!H50</f>
        <v>1830</v>
      </c>
      <c r="I6" s="1">
        <f>'Data Sheet'!I50</f>
        <v>1875</v>
      </c>
      <c r="J6" s="1">
        <f>'Data Sheet'!J50</f>
        <v>2713</v>
      </c>
      <c r="K6" s="1">
        <f>'Data Sheet'!K50</f>
        <v>1938</v>
      </c>
    </row>
    <row r="7" spans="1:11" x14ac:dyDescent="0.35">
      <c r="A7" t="s">
        <v>9</v>
      </c>
      <c r="B7" s="6">
        <f>'Data Sheet'!B44</f>
        <v>136</v>
      </c>
      <c r="C7" s="6">
        <f>'Data Sheet'!C44</f>
        <v>159</v>
      </c>
      <c r="D7" s="6">
        <f>'Data Sheet'!D44</f>
        <v>120</v>
      </c>
      <c r="E7" s="6">
        <f>'Data Sheet'!E44</f>
        <v>123</v>
      </c>
      <c r="F7" s="6">
        <f>'Data Sheet'!F44</f>
        <v>128</v>
      </c>
      <c r="G7" s="6">
        <f>'Data Sheet'!G44</f>
        <v>116</v>
      </c>
      <c r="H7" s="6">
        <f>'Data Sheet'!H44</f>
        <v>105</v>
      </c>
      <c r="I7" s="6">
        <f>'Data Sheet'!I44</f>
        <v>113</v>
      </c>
      <c r="J7" s="6">
        <f>'Data Sheet'!J44</f>
        <v>-1</v>
      </c>
      <c r="K7" s="6">
        <f>'Data Sheet'!K44</f>
        <v>235</v>
      </c>
    </row>
    <row r="8" spans="1:11" x14ac:dyDescent="0.35">
      <c r="A8" t="s">
        <v>10</v>
      </c>
      <c r="B8" s="6">
        <f>'Data Sheet'!B45</f>
        <v>154</v>
      </c>
      <c r="C8" s="6">
        <f>'Data Sheet'!C45</f>
        <v>158</v>
      </c>
      <c r="D8" s="6">
        <f>'Data Sheet'!D45</f>
        <v>164</v>
      </c>
      <c r="E8" s="6">
        <f>'Data Sheet'!E45</f>
        <v>171</v>
      </c>
      <c r="F8" s="6">
        <f>'Data Sheet'!F45</f>
        <v>175</v>
      </c>
      <c r="G8" s="6">
        <f>'Data Sheet'!G45</f>
        <v>183</v>
      </c>
      <c r="H8" s="6">
        <f>'Data Sheet'!H45</f>
        <v>184</v>
      </c>
      <c r="I8" s="6">
        <f>'Data Sheet'!I45</f>
        <v>189</v>
      </c>
      <c r="J8" s="6">
        <f>'Data Sheet'!J45</f>
        <v>207</v>
      </c>
      <c r="K8" s="6">
        <f>'Data Sheet'!K45</f>
        <v>246</v>
      </c>
    </row>
    <row r="9" spans="1:11" x14ac:dyDescent="0.35">
      <c r="A9" t="s">
        <v>11</v>
      </c>
      <c r="B9" s="6">
        <f>'Data Sheet'!B46</f>
        <v>169</v>
      </c>
      <c r="C9" s="6">
        <f>'Data Sheet'!C46</f>
        <v>201</v>
      </c>
      <c r="D9" s="6">
        <f>'Data Sheet'!D46</f>
        <v>230</v>
      </c>
      <c r="E9" s="6">
        <f>'Data Sheet'!E46</f>
        <v>240</v>
      </c>
      <c r="F9" s="6">
        <f>'Data Sheet'!F46</f>
        <v>231</v>
      </c>
      <c r="G9" s="6">
        <f>'Data Sheet'!G46</f>
        <v>252</v>
      </c>
      <c r="H9" s="6">
        <f>'Data Sheet'!H46</f>
        <v>271</v>
      </c>
      <c r="I9" s="6">
        <f>'Data Sheet'!I46</f>
        <v>277</v>
      </c>
      <c r="J9" s="6">
        <f>'Data Sheet'!J46</f>
        <v>282</v>
      </c>
      <c r="K9" s="6">
        <f>'Data Sheet'!K46</f>
        <v>350</v>
      </c>
    </row>
    <row r="10" spans="1:11" x14ac:dyDescent="0.35">
      <c r="A10" t="s">
        <v>12</v>
      </c>
      <c r="B10" s="6">
        <f>'Data Sheet'!B47</f>
        <v>1378</v>
      </c>
      <c r="C10" s="6">
        <f>'Data Sheet'!C47</f>
        <v>991</v>
      </c>
      <c r="D10" s="6">
        <f>'Data Sheet'!D47</f>
        <v>973</v>
      </c>
      <c r="E10" s="6">
        <f>'Data Sheet'!E47</f>
        <v>948</v>
      </c>
      <c r="F10" s="6">
        <f>'Data Sheet'!F47</f>
        <v>1396</v>
      </c>
      <c r="G10" s="6">
        <f>'Data Sheet'!G47</f>
        <v>1218</v>
      </c>
      <c r="H10" s="6">
        <f>'Data Sheet'!H47</f>
        <v>1480</v>
      </c>
      <c r="I10" s="6">
        <f>'Data Sheet'!I47</f>
        <v>1522</v>
      </c>
      <c r="J10" s="6">
        <f>'Data Sheet'!J47</f>
        <v>2223</v>
      </c>
      <c r="K10" s="6">
        <f>'Data Sheet'!K47</f>
        <v>1577</v>
      </c>
    </row>
    <row r="11" spans="1:11" x14ac:dyDescent="0.35">
      <c r="A11" t="s">
        <v>13</v>
      </c>
      <c r="B11" s="6">
        <f>'Data Sheet'!B48</f>
        <v>325</v>
      </c>
      <c r="C11" s="6">
        <f>'Data Sheet'!C48</f>
        <v>220</v>
      </c>
      <c r="D11" s="6">
        <f>'Data Sheet'!D48</f>
        <v>258</v>
      </c>
      <c r="E11" s="6">
        <f>'Data Sheet'!E48</f>
        <v>244</v>
      </c>
      <c r="F11" s="6">
        <f>'Data Sheet'!F48</f>
        <v>349</v>
      </c>
      <c r="G11" s="6">
        <f>'Data Sheet'!G48</f>
        <v>347</v>
      </c>
      <c r="H11" s="6">
        <f>'Data Sheet'!H48</f>
        <v>389</v>
      </c>
      <c r="I11" s="6">
        <f>'Data Sheet'!I48</f>
        <v>402</v>
      </c>
      <c r="J11" s="6">
        <f>'Data Sheet'!J48</f>
        <v>539</v>
      </c>
      <c r="K11" s="6">
        <f>'Data Sheet'!K48</f>
        <v>398</v>
      </c>
    </row>
    <row r="12" spans="1:11" s="2" customFormat="1" x14ac:dyDescent="0.35">
      <c r="A12" s="2" t="s">
        <v>14</v>
      </c>
      <c r="B12" s="1">
        <f>'Data Sheet'!B49</f>
        <v>1053</v>
      </c>
      <c r="C12" s="1">
        <f>'Data Sheet'!C49</f>
        <v>771</v>
      </c>
      <c r="D12" s="1">
        <f>'Data Sheet'!D49</f>
        <v>715</v>
      </c>
      <c r="E12" s="1">
        <f>'Data Sheet'!E49</f>
        <v>704</v>
      </c>
      <c r="F12" s="1">
        <f>'Data Sheet'!F49</f>
        <v>1047</v>
      </c>
      <c r="G12" s="1">
        <f>'Data Sheet'!G49</f>
        <v>871</v>
      </c>
      <c r="H12" s="1">
        <f>'Data Sheet'!H49</f>
        <v>1091</v>
      </c>
      <c r="I12" s="1">
        <f>'Data Sheet'!I49</f>
        <v>1120</v>
      </c>
      <c r="J12" s="1">
        <f>'Data Sheet'!J49</f>
        <v>1684</v>
      </c>
      <c r="K12" s="1">
        <f>'Data Sheet'!K49</f>
        <v>1179</v>
      </c>
    </row>
    <row r="14" spans="1:11" s="2" customFormat="1" x14ac:dyDescent="0.35">
      <c r="A14" s="2" t="s">
        <v>18</v>
      </c>
      <c r="B14" s="10">
        <f>IF(B4&gt;0,B6/B4,"")</f>
        <v>0.11049138661395086</v>
      </c>
      <c r="C14" s="10">
        <f t="shared" ref="C14:K14" si="0">IF(C4&gt;0,C6/C4,"")</f>
        <v>9.5325756363054265E-2</v>
      </c>
      <c r="D14" s="10">
        <f t="shared" si="0"/>
        <v>9.399969847731042E-2</v>
      </c>
      <c r="E14" s="10">
        <f t="shared" si="0"/>
        <v>8.5041970551809551E-2</v>
      </c>
      <c r="F14" s="10">
        <f t="shared" si="0"/>
        <v>9.4363021420518597E-2</v>
      </c>
      <c r="G14" s="10">
        <f t="shared" si="0"/>
        <v>0.1030437114507911</v>
      </c>
      <c r="H14" s="10">
        <f t="shared" si="0"/>
        <v>0.11075470556194396</v>
      </c>
      <c r="I14" s="10">
        <f t="shared" si="0"/>
        <v>0.10013351134846461</v>
      </c>
      <c r="J14" s="10">
        <f t="shared" si="0"/>
        <v>0.10674378344350016</v>
      </c>
      <c r="K14" s="10">
        <f t="shared" si="0"/>
        <v>7.1991084695393753E-2</v>
      </c>
    </row>
    <row r="22" s="23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TITAN COMPANY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35">
      <c r="A4" t="s">
        <v>24</v>
      </c>
      <c r="B4" s="14">
        <f>'Data Sheet'!B57</f>
        <v>88.78</v>
      </c>
      <c r="C4" s="14">
        <f>'Data Sheet'!C57</f>
        <v>88.78</v>
      </c>
      <c r="D4" s="14">
        <f>'Data Sheet'!D57</f>
        <v>88.78</v>
      </c>
      <c r="E4" s="14">
        <f>'Data Sheet'!E57</f>
        <v>89</v>
      </c>
      <c r="F4" s="14">
        <f>'Data Sheet'!F57</f>
        <v>89</v>
      </c>
      <c r="G4" s="14">
        <f>'Data Sheet'!G57</f>
        <v>89</v>
      </c>
      <c r="H4" s="14">
        <f>'Data Sheet'!H57</f>
        <v>89</v>
      </c>
      <c r="I4" s="14">
        <f>'Data Sheet'!I57</f>
        <v>89</v>
      </c>
      <c r="J4" s="14">
        <f>'Data Sheet'!J57</f>
        <v>89</v>
      </c>
      <c r="K4" s="14">
        <f>'Data Sheet'!K57</f>
        <v>89</v>
      </c>
    </row>
    <row r="5" spans="1:11" x14ac:dyDescent="0.35">
      <c r="A5" t="s">
        <v>25</v>
      </c>
      <c r="B5" s="14">
        <f>'Data Sheet'!B58</f>
        <v>4143.6000000000004</v>
      </c>
      <c r="C5" s="14">
        <f>'Data Sheet'!C58</f>
        <v>5001.1000000000004</v>
      </c>
      <c r="D5" s="14">
        <f>'Data Sheet'!D58</f>
        <v>5981.37</v>
      </c>
      <c r="E5" s="14">
        <f>'Data Sheet'!E58</f>
        <v>6580</v>
      </c>
      <c r="F5" s="14">
        <f>'Data Sheet'!F58</f>
        <v>7408</v>
      </c>
      <c r="G5" s="14">
        <f>'Data Sheet'!G58</f>
        <v>9214</v>
      </c>
      <c r="H5" s="14">
        <f>'Data Sheet'!H58</f>
        <v>11762</v>
      </c>
      <c r="I5" s="14">
        <f>'Data Sheet'!I58</f>
        <v>9304</v>
      </c>
      <c r="J5" s="14">
        <f>'Data Sheet'!J58</f>
        <v>11535</v>
      </c>
      <c r="K5" s="14">
        <f>'Data Sheet'!K58</f>
        <v>15614</v>
      </c>
    </row>
    <row r="6" spans="1:11" x14ac:dyDescent="0.35">
      <c r="A6" t="s">
        <v>71</v>
      </c>
      <c r="B6" s="14">
        <f>'Data Sheet'!B59</f>
        <v>1882.43</v>
      </c>
      <c r="C6" s="14">
        <f>'Data Sheet'!C59</f>
        <v>1691.01</v>
      </c>
      <c r="D6" s="14">
        <f>'Data Sheet'!D59</f>
        <v>2392.98</v>
      </c>
      <c r="E6" s="14">
        <f>'Data Sheet'!E59</f>
        <v>3562</v>
      </c>
      <c r="F6" s="14">
        <f>'Data Sheet'!F59</f>
        <v>5638</v>
      </c>
      <c r="G6" s="14">
        <f>'Data Sheet'!G59</f>
        <v>7275</v>
      </c>
      <c r="H6" s="14">
        <f>'Data Sheet'!H59</f>
        <v>9367</v>
      </c>
      <c r="I6" s="14">
        <f>'Data Sheet'!I59</f>
        <v>15528</v>
      </c>
      <c r="J6" s="14">
        <f>'Data Sheet'!J59</f>
        <v>20777</v>
      </c>
      <c r="K6" s="14">
        <f>'Data Sheet'!K59</f>
        <v>14551</v>
      </c>
    </row>
    <row r="7" spans="1:11" x14ac:dyDescent="0.35">
      <c r="A7" t="s">
        <v>72</v>
      </c>
      <c r="B7" s="14">
        <f>'Data Sheet'!B60</f>
        <v>2292.7600000000002</v>
      </c>
      <c r="C7" s="14">
        <f>'Data Sheet'!C60</f>
        <v>2740.15</v>
      </c>
      <c r="D7" s="14">
        <f>'Data Sheet'!D60</f>
        <v>3246.71</v>
      </c>
      <c r="E7" s="14">
        <f>'Data Sheet'!E60</f>
        <v>3313</v>
      </c>
      <c r="F7" s="14">
        <f>'Data Sheet'!F60</f>
        <v>3309</v>
      </c>
      <c r="G7" s="14">
        <f>'Data Sheet'!G60</f>
        <v>4610</v>
      </c>
      <c r="H7" s="14">
        <f>'Data Sheet'!H60</f>
        <v>5802</v>
      </c>
      <c r="I7" s="14">
        <f>'Data Sheet'!I60</f>
        <v>6626</v>
      </c>
      <c r="J7" s="14">
        <f>'Data Sheet'!J60</f>
        <v>8244</v>
      </c>
      <c r="K7" s="14">
        <f>'Data Sheet'!K60</f>
        <v>30307</v>
      </c>
    </row>
    <row r="8" spans="1:11" s="2" customFormat="1" x14ac:dyDescent="0.35">
      <c r="A8" s="2" t="s">
        <v>26</v>
      </c>
      <c r="B8" s="15">
        <f>'Data Sheet'!B61</f>
        <v>8407.57</v>
      </c>
      <c r="C8" s="15">
        <f>'Data Sheet'!C61</f>
        <v>9521.0400000000009</v>
      </c>
      <c r="D8" s="15">
        <f>'Data Sheet'!D61</f>
        <v>11709.84</v>
      </c>
      <c r="E8" s="15">
        <f>'Data Sheet'!E61</f>
        <v>13544</v>
      </c>
      <c r="F8" s="15">
        <f>'Data Sheet'!F61</f>
        <v>16444</v>
      </c>
      <c r="G8" s="15">
        <f>'Data Sheet'!G61</f>
        <v>21188</v>
      </c>
      <c r="H8" s="15">
        <f>'Data Sheet'!H61</f>
        <v>27020</v>
      </c>
      <c r="I8" s="15">
        <f>'Data Sheet'!I61</f>
        <v>31547</v>
      </c>
      <c r="J8" s="15">
        <f>'Data Sheet'!J61</f>
        <v>40645</v>
      </c>
      <c r="K8" s="15">
        <f>'Data Sheet'!K61</f>
        <v>60561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1188.72</v>
      </c>
      <c r="C10" s="14">
        <f>'Data Sheet'!C62</f>
        <v>1473.81</v>
      </c>
      <c r="D10" s="14">
        <f>'Data Sheet'!D62</f>
        <v>1566.63</v>
      </c>
      <c r="E10" s="14">
        <f>'Data Sheet'!E62</f>
        <v>2633</v>
      </c>
      <c r="F10" s="14">
        <f>'Data Sheet'!F62</f>
        <v>2523</v>
      </c>
      <c r="G10" s="14">
        <f>'Data Sheet'!G62</f>
        <v>2544</v>
      </c>
      <c r="H10" s="14">
        <f>'Data Sheet'!H62</f>
        <v>2998</v>
      </c>
      <c r="I10" s="14">
        <f>'Data Sheet'!I62</f>
        <v>3709</v>
      </c>
      <c r="J10" s="14">
        <f>'Data Sheet'!J62</f>
        <v>4062</v>
      </c>
      <c r="K10" s="14">
        <f>'Data Sheet'!K62</f>
        <v>6906</v>
      </c>
    </row>
    <row r="11" spans="1:11" x14ac:dyDescent="0.35">
      <c r="A11" t="s">
        <v>28</v>
      </c>
      <c r="B11" s="14">
        <f>'Data Sheet'!B63</f>
        <v>152.07</v>
      </c>
      <c r="C11" s="14">
        <f>'Data Sheet'!C63</f>
        <v>43.37</v>
      </c>
      <c r="D11" s="14">
        <f>'Data Sheet'!D63</f>
        <v>31.77</v>
      </c>
      <c r="E11" s="14">
        <f>'Data Sheet'!E63</f>
        <v>18</v>
      </c>
      <c r="F11" s="14">
        <f>'Data Sheet'!F63</f>
        <v>32</v>
      </c>
      <c r="G11" s="14">
        <f>'Data Sheet'!G63</f>
        <v>85</v>
      </c>
      <c r="H11" s="14">
        <f>'Data Sheet'!H63</f>
        <v>144</v>
      </c>
      <c r="I11" s="14">
        <f>'Data Sheet'!I63</f>
        <v>97</v>
      </c>
      <c r="J11" s="14">
        <f>'Data Sheet'!J63</f>
        <v>105</v>
      </c>
      <c r="K11" s="14">
        <f>'Data Sheet'!K63</f>
        <v>135</v>
      </c>
    </row>
    <row r="12" spans="1:11" x14ac:dyDescent="0.35">
      <c r="A12" t="s">
        <v>29</v>
      </c>
      <c r="B12" s="14">
        <f>'Data Sheet'!B64</f>
        <v>430.73</v>
      </c>
      <c r="C12" s="14">
        <f>'Data Sheet'!C64</f>
        <v>35.99</v>
      </c>
      <c r="D12" s="14">
        <f>'Data Sheet'!D64</f>
        <v>108.42</v>
      </c>
      <c r="E12" s="14">
        <f>'Data Sheet'!E64</f>
        <v>158</v>
      </c>
      <c r="F12" s="14">
        <f>'Data Sheet'!F64</f>
        <v>2824</v>
      </c>
      <c r="G12" s="14">
        <f>'Data Sheet'!G64</f>
        <v>294</v>
      </c>
      <c r="H12" s="14">
        <f>'Data Sheet'!H64</f>
        <v>2515</v>
      </c>
      <c r="I12" s="14">
        <f>'Data Sheet'!I64</f>
        <v>2345</v>
      </c>
      <c r="J12" s="14">
        <f>'Data Sheet'!J64</f>
        <v>1988</v>
      </c>
      <c r="K12" s="14">
        <f>'Data Sheet'!K64</f>
        <v>3506</v>
      </c>
    </row>
    <row r="13" spans="1:11" x14ac:dyDescent="0.35">
      <c r="A13" t="s">
        <v>73</v>
      </c>
      <c r="B13" s="14">
        <f>'Data Sheet'!B65</f>
        <v>6636.05</v>
      </c>
      <c r="C13" s="14">
        <f>'Data Sheet'!C65</f>
        <v>7967.87</v>
      </c>
      <c r="D13" s="14">
        <f>'Data Sheet'!D65</f>
        <v>10003.02</v>
      </c>
      <c r="E13" s="14">
        <f>'Data Sheet'!E65</f>
        <v>10735</v>
      </c>
      <c r="F13" s="14">
        <f>'Data Sheet'!F65</f>
        <v>11065</v>
      </c>
      <c r="G13" s="14">
        <f>'Data Sheet'!G65</f>
        <v>18265</v>
      </c>
      <c r="H13" s="14">
        <f>'Data Sheet'!H65</f>
        <v>21363</v>
      </c>
      <c r="I13" s="14">
        <f>'Data Sheet'!I65</f>
        <v>25396</v>
      </c>
      <c r="J13" s="14">
        <f>'Data Sheet'!J65</f>
        <v>34490</v>
      </c>
      <c r="K13" s="14">
        <f>'Data Sheet'!K65</f>
        <v>50014</v>
      </c>
    </row>
    <row r="14" spans="1:11" s="2" customFormat="1" x14ac:dyDescent="0.35">
      <c r="A14" s="2" t="s">
        <v>26</v>
      </c>
      <c r="B14" s="14">
        <f>'Data Sheet'!B66</f>
        <v>8407.57</v>
      </c>
      <c r="C14" s="14">
        <f>'Data Sheet'!C66</f>
        <v>9521.0400000000009</v>
      </c>
      <c r="D14" s="14">
        <f>'Data Sheet'!D66</f>
        <v>11709.84</v>
      </c>
      <c r="E14" s="14">
        <f>'Data Sheet'!E66</f>
        <v>13544</v>
      </c>
      <c r="F14" s="14">
        <f>'Data Sheet'!F66</f>
        <v>16444</v>
      </c>
      <c r="G14" s="14">
        <f>'Data Sheet'!G66</f>
        <v>21188</v>
      </c>
      <c r="H14" s="14">
        <f>'Data Sheet'!H66</f>
        <v>27020</v>
      </c>
      <c r="I14" s="14">
        <f>'Data Sheet'!I66</f>
        <v>31547</v>
      </c>
      <c r="J14" s="14">
        <f>'Data Sheet'!J66</f>
        <v>40645</v>
      </c>
      <c r="K14" s="14">
        <f>'Data Sheet'!K66</f>
        <v>60561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4343.29</v>
      </c>
      <c r="C16" s="4">
        <f t="shared" ref="C16:K16" si="0">C13-C7</f>
        <v>5227.7199999999993</v>
      </c>
      <c r="D16" s="4">
        <f t="shared" si="0"/>
        <v>6756.31</v>
      </c>
      <c r="E16" s="4">
        <f t="shared" si="0"/>
        <v>7422</v>
      </c>
      <c r="F16" s="4">
        <f t="shared" si="0"/>
        <v>7756</v>
      </c>
      <c r="G16" s="4">
        <f t="shared" si="0"/>
        <v>13655</v>
      </c>
      <c r="H16" s="4">
        <f t="shared" si="0"/>
        <v>15561</v>
      </c>
      <c r="I16" s="4">
        <f t="shared" si="0"/>
        <v>18770</v>
      </c>
      <c r="J16" s="4">
        <f t="shared" si="0"/>
        <v>26246</v>
      </c>
      <c r="K16" s="4">
        <f t="shared" si="0"/>
        <v>19707</v>
      </c>
    </row>
    <row r="17" spans="1:11" x14ac:dyDescent="0.35">
      <c r="A17" t="s">
        <v>44</v>
      </c>
      <c r="B17" s="4">
        <f>'Data Sheet'!B67</f>
        <v>207.6</v>
      </c>
      <c r="C17" s="4">
        <f>'Data Sheet'!C67</f>
        <v>295.69</v>
      </c>
      <c r="D17" s="4">
        <f>'Data Sheet'!D67</f>
        <v>420.45</v>
      </c>
      <c r="E17" s="4">
        <f>'Data Sheet'!E67</f>
        <v>312</v>
      </c>
      <c r="F17" s="4">
        <f>'Data Sheet'!F67</f>
        <v>366</v>
      </c>
      <c r="G17" s="4">
        <f>'Data Sheet'!G67</f>
        <v>565</v>
      </c>
      <c r="H17" s="4">
        <f>'Data Sheet'!H67</f>
        <v>674</v>
      </c>
      <c r="I17" s="4">
        <f>'Data Sheet'!I67</f>
        <v>1018</v>
      </c>
      <c r="J17" s="4">
        <f>'Data Sheet'!J67</f>
        <v>1068</v>
      </c>
      <c r="K17" s="4">
        <f>'Data Sheet'!K67</f>
        <v>916</v>
      </c>
    </row>
    <row r="18" spans="1:11" x14ac:dyDescent="0.35">
      <c r="A18" t="s">
        <v>45</v>
      </c>
      <c r="B18" s="4">
        <f>'Data Sheet'!B68</f>
        <v>4925.74</v>
      </c>
      <c r="C18" s="4">
        <f>'Data Sheet'!C68</f>
        <v>5924.84</v>
      </c>
      <c r="D18" s="4">
        <f>'Data Sheet'!D68</f>
        <v>7038.82</v>
      </c>
      <c r="E18" s="4">
        <f>'Data Sheet'!E68</f>
        <v>8103</v>
      </c>
      <c r="F18" s="4">
        <f>'Data Sheet'!F68</f>
        <v>8408</v>
      </c>
      <c r="G18" s="4">
        <f>'Data Sheet'!G68</f>
        <v>13609</v>
      </c>
      <c r="H18" s="4">
        <f>'Data Sheet'!H68</f>
        <v>16584</v>
      </c>
      <c r="I18" s="4">
        <f>'Data Sheet'!I68</f>
        <v>19051</v>
      </c>
      <c r="J18" s="4">
        <f>'Data Sheet'!J68</f>
        <v>28184</v>
      </c>
      <c r="K18" s="4">
        <f>'Data Sheet'!K68</f>
        <v>42743</v>
      </c>
    </row>
    <row r="20" spans="1:11" x14ac:dyDescent="0.35">
      <c r="A20" t="s">
        <v>46</v>
      </c>
      <c r="B20" s="4">
        <f>IF('Profit &amp; Loss'!B4&gt;0,'Balance Sheet'!B17/('Profit &amp; Loss'!B4/365),0)</f>
        <v>5.714121966724556</v>
      </c>
      <c r="C20" s="4">
        <f>IF('Profit &amp; Loss'!C4&gt;0,'Balance Sheet'!C17/('Profit &amp; Loss'!C4/365),0)</f>
        <v>6.6953095484612994</v>
      </c>
      <c r="D20" s="4">
        <f>IF('Profit &amp; Loss'!D4&gt;0,'Balance Sheet'!D17/('Profit &amp; Loss'!D4/365),0)</f>
        <v>7.7591371851887798</v>
      </c>
      <c r="E20" s="4">
        <f>IF('Profit &amp; Loss'!E4&gt;0,'Balance Sheet'!E17/('Profit &amp; Loss'!E4/365),0)</f>
        <v>5.4094622838685158</v>
      </c>
      <c r="F20" s="4">
        <f>IF('Profit &amp; Loss'!F4&gt;0,'Balance Sheet'!F17/('Profit &amp; Loss'!F4/365),0)</f>
        <v>6.172149325448161</v>
      </c>
      <c r="G20" s="4">
        <f>IF('Profit &amp; Loss'!G4&gt;0,'Balance Sheet'!G17/('Profit &amp; Loss'!G4/365),0)</f>
        <v>7.160838918017987</v>
      </c>
      <c r="H20" s="4">
        <f>IF('Profit &amp; Loss'!H4&gt;0,'Balance Sheet'!H17/('Profit &amp; Loss'!H4/365),0)</f>
        <v>6.0630930375847196</v>
      </c>
      <c r="I20" s="4">
        <f>IF('Profit &amp; Loss'!I4&gt;0,'Balance Sheet'!I17/('Profit &amp; Loss'!I4/365),0)</f>
        <v>7.2737060527758199</v>
      </c>
      <c r="J20" s="4">
        <f>IF('Profit &amp; Loss'!J4&gt;0,'Balance Sheet'!J17/('Profit &amp; Loss'!J4/365),0)</f>
        <v>6.4479952362048429</v>
      </c>
      <c r="K20" s="4">
        <f>IF('Profit &amp; Loss'!K4&gt;0,'Balance Sheet'!K17/('Profit &amp; Loss'!K4/365),0)</f>
        <v>3.817363902082572</v>
      </c>
    </row>
    <row r="21" spans="1:11" x14ac:dyDescent="0.35">
      <c r="A21" t="s">
        <v>47</v>
      </c>
      <c r="B21" s="4">
        <f>IF('Balance Sheet'!B18&gt;0,'Profit &amp; Loss'!B4/'Balance Sheet'!B18,0)</f>
        <v>2.6921498089627143</v>
      </c>
      <c r="C21" s="4">
        <f>IF('Balance Sheet'!C18&gt;0,'Profit &amp; Loss'!C4/'Balance Sheet'!C18,0)</f>
        <v>2.7207097575630734</v>
      </c>
      <c r="D21" s="4">
        <f>IF('Balance Sheet'!D18&gt;0,'Profit &amp; Loss'!D4/'Balance Sheet'!D18,0)</f>
        <v>2.8099198445193942</v>
      </c>
      <c r="E21" s="4">
        <f>IF('Balance Sheet'!E18&gt;0,'Profit &amp; Loss'!E4/'Balance Sheet'!E18,0)</f>
        <v>2.59805010489942</v>
      </c>
      <c r="F21" s="4">
        <f>IF('Balance Sheet'!F18&gt;0,'Profit &amp; Loss'!F4/'Balance Sheet'!F18,0)</f>
        <v>2.5742150333016176</v>
      </c>
      <c r="G21" s="4">
        <f>IF('Balance Sheet'!G18&gt;0,'Profit &amp; Loss'!G4/'Balance Sheet'!G18,0)</f>
        <v>2.1161731207289294</v>
      </c>
      <c r="H21" s="4">
        <f>IF('Balance Sheet'!H18&gt;0,'Profit &amp; Loss'!H4/'Balance Sheet'!H18,0)</f>
        <v>2.4466353111432708</v>
      </c>
      <c r="I21" s="4">
        <f>IF('Balance Sheet'!I18&gt;0,'Profit &amp; Loss'!I4/'Balance Sheet'!I18,0)</f>
        <v>2.6814340454569314</v>
      </c>
      <c r="J21" s="4">
        <f>IF('Balance Sheet'!J18&gt;0,'Profit &amp; Loss'!J4/'Balance Sheet'!J18,0)</f>
        <v>2.1450468350837353</v>
      </c>
      <c r="K21" s="4">
        <f>IF('Balance Sheet'!K18&gt;0,'Profit &amp; Loss'!K4/'Balance Sheet'!K18,0)</f>
        <v>2.0490840605479259</v>
      </c>
    </row>
    <row r="23" spans="1:11" s="2" customFormat="1" x14ac:dyDescent="0.35">
      <c r="A23" s="2" t="s">
        <v>59</v>
      </c>
      <c r="B23" s="10">
        <f>IF(SUM('Balance Sheet'!B4:B5)&gt;0,'Profit &amp; Loss'!B12/SUM('Balance Sheet'!B4:B5),"")</f>
        <v>0.16810163548641663</v>
      </c>
      <c r="C23" s="10">
        <f>IF(SUM('Balance Sheet'!C4:C5)&gt;0,'Profit &amp; Loss'!C12/SUM('Balance Sheet'!C4:C5),"")</f>
        <v>0.22202684542661122</v>
      </c>
      <c r="D23" s="10">
        <f>IF(SUM('Balance Sheet'!D4:D5)&gt;0,'Profit &amp; Loss'!D12/SUM('Balance Sheet'!D4:D5),"")</f>
        <v>0.23132047807714803</v>
      </c>
      <c r="E23" s="10">
        <f>IF(SUM('Balance Sheet'!E4:E5)&gt;0,'Profit &amp; Loss'!E12/SUM('Balance Sheet'!E4:E5),"")</f>
        <v>0.22507122507122507</v>
      </c>
      <c r="F23" s="10">
        <f>IF(SUM('Balance Sheet'!F4:F5)&gt;0,'Profit &amp; Loss'!F12/SUM('Balance Sheet'!F4:F5),"")</f>
        <v>0.12978524743230627</v>
      </c>
      <c r="G23" s="10">
        <f>IF(SUM('Balance Sheet'!G4:G5)&gt;0,'Profit &amp; Loss'!G12/SUM('Balance Sheet'!G4:G5),"")</f>
        <v>0.23358056540900785</v>
      </c>
      <c r="H23" s="10">
        <f>IF(SUM('Balance Sheet'!H4:H5)&gt;0,'Profit &amp; Loss'!H12/SUM('Balance Sheet'!H4:H5),"")</f>
        <v>0.27423846088937642</v>
      </c>
      <c r="I23" s="10">
        <f>IF(SUM('Balance Sheet'!I4:I5)&gt;0,'Profit &amp; Loss'!I12/SUM('Balance Sheet'!I4:I5),"")</f>
        <v>0.37219205791546894</v>
      </c>
      <c r="J23" s="10">
        <f>IF(SUM('Balance Sheet'!J4:J5)&gt;0,'Profit &amp; Loss'!J12/SUM('Balance Sheet'!J4:J5),"")</f>
        <v>0.28707845836200963</v>
      </c>
      <c r="K23" s="10">
        <f>IF(SUM('Balance Sheet'!K4:K5)&gt;0,'Profit &amp; Loss'!K12/SUM('Balance Sheet'!K4:K5),"")</f>
        <v>0.32305928803413358</v>
      </c>
    </row>
    <row r="24" spans="1:11" s="2" customFormat="1" x14ac:dyDescent="0.35">
      <c r="A24" s="2" t="s">
        <v>60</v>
      </c>
      <c r="B24" s="10"/>
      <c r="C24" s="10">
        <f>IF((B4+B5+B6+C4+C5+C6)&gt;0,('Profit &amp; Loss'!C10+'Profit &amp; Loss'!C9)*2/(B4+B5+B6+C4+C5+C6),"")</f>
        <v>0.24546166551641244</v>
      </c>
      <c r="D24" s="10">
        <f>IF((C4+C5+C6+D4+D5+D6)&gt;0,('Profit &amp; Loss'!D10+'Profit &amp; Loss'!D9)*2/(C4+C5+C6+D4+D5+D6),"")</f>
        <v>0.26363518284546988</v>
      </c>
      <c r="E24" s="10">
        <f>IF((D4+D5+D6+E4+E5+E6)&gt;0,('Profit &amp; Loss'!E10+'Profit &amp; Loss'!E9)*2/(D4+D5+D6+E4+E5+E6),"")</f>
        <v>0.24264301146937572</v>
      </c>
      <c r="F24" s="10">
        <f>IF((E4+E5+E6+F4+F5+F6)&gt;0,('Profit &amp; Loss'!F10+'Profit &amp; Loss'!F9)*2/(E4+E5+E6+F4+F5+F6),"")</f>
        <v>0.13095951382350424</v>
      </c>
      <c r="G24" s="10">
        <f>IF((F4+F5+F6+G4+G5+G6)&gt;0,('Profit &amp; Loss'!G10+'Profit &amp; Loss'!G9)*2/(F4+F5+F6+G4+G5+G6),"")</f>
        <v>0.21014370814121766</v>
      </c>
      <c r="H24" s="10">
        <f>IF((G4+G5+G6+H4+H5+H6)&gt;0,('Profit &amp; Loss'!H10+'Profit &amp; Loss'!H9)*2/(G4+G5+G6+H4+H5+H6),"")</f>
        <v>0.2511906021801249</v>
      </c>
      <c r="I24" s="10">
        <f>IF((H4+H5+H6+I4+I5+I6)&gt;0,('Profit &amp; Loss'!I10+'Profit &amp; Loss'!I9)*2/(H4+H5+H6+I4+I5+I6),"")</f>
        <v>0.22722642449988079</v>
      </c>
      <c r="J24" s="10">
        <f>IF((I4+I5+I6+J4+J5+J6)&gt;0,('Profit &amp; Loss'!J10+'Profit &amp; Loss'!J9)*2/(I4+I5+I6+J4+J5+J6),"")</f>
        <v>0.19147971110568368</v>
      </c>
      <c r="K24" s="10">
        <f>IF((J4+J5+J6+K4+K5+K6)&gt;0,('Profit &amp; Loss'!K10+'Profit &amp; Loss'!K9)*2/(J4+J5+J6+K4+K5+K6),"")</f>
        <v>0.2547601947171016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TITAN COMPANY LTD</v>
      </c>
      <c r="E1" t="str">
        <f>UPDATE</f>
        <v/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35">
      <c r="A4" s="2" t="s">
        <v>32</v>
      </c>
      <c r="B4" s="1">
        <f>'Data Sheet'!B82</f>
        <v>1712.3</v>
      </c>
      <c r="C4" s="1">
        <f>'Data Sheet'!C82</f>
        <v>-51.12</v>
      </c>
      <c r="D4" s="1">
        <f>'Data Sheet'!D82</f>
        <v>1242.92</v>
      </c>
      <c r="E4" s="1">
        <f>'Data Sheet'!E82</f>
        <v>-348</v>
      </c>
      <c r="F4" s="1">
        <f>'Data Sheet'!F82</f>
        <v>4139</v>
      </c>
      <c r="G4" s="1">
        <f>'Data Sheet'!G82</f>
        <v>-724</v>
      </c>
      <c r="H4" s="1">
        <f>'Data Sheet'!H82</f>
        <v>1370</v>
      </c>
      <c r="I4" s="1">
        <f>'Data Sheet'!I82</f>
        <v>1695</v>
      </c>
      <c r="J4" s="1">
        <f>'Data Sheet'!J82</f>
        <v>-541</v>
      </c>
      <c r="K4" s="1">
        <f>'Data Sheet'!K82</f>
        <v>5590</v>
      </c>
    </row>
    <row r="5" spans="1:11" x14ac:dyDescent="0.35">
      <c r="A5" t="s">
        <v>33</v>
      </c>
      <c r="B5" s="6">
        <f>'Data Sheet'!B83</f>
        <v>-953.15</v>
      </c>
      <c r="C5" s="6">
        <f>'Data Sheet'!C83</f>
        <v>97.62</v>
      </c>
      <c r="D5" s="6">
        <f>'Data Sheet'!D83</f>
        <v>-796.61</v>
      </c>
      <c r="E5" s="6">
        <f>'Data Sheet'!E83</f>
        <v>235</v>
      </c>
      <c r="F5" s="6">
        <f>'Data Sheet'!F83</f>
        <v>-2799</v>
      </c>
      <c r="G5" s="6">
        <f>'Data Sheet'!G83</f>
        <v>1165</v>
      </c>
      <c r="H5" s="6">
        <f>'Data Sheet'!H83</f>
        <v>-1814</v>
      </c>
      <c r="I5" s="6">
        <f>'Data Sheet'!I83</f>
        <v>-189</v>
      </c>
      <c r="J5" s="6">
        <f>'Data Sheet'!J83</f>
        <v>546</v>
      </c>
      <c r="K5" s="6">
        <f>'Data Sheet'!K83</f>
        <v>-2934</v>
      </c>
    </row>
    <row r="6" spans="1:11" x14ac:dyDescent="0.35">
      <c r="A6" t="s">
        <v>34</v>
      </c>
      <c r="B6" s="6">
        <f>'Data Sheet'!B84</f>
        <v>-165.6</v>
      </c>
      <c r="C6" s="6">
        <f>'Data Sheet'!C84</f>
        <v>-252.45</v>
      </c>
      <c r="D6" s="6">
        <f>'Data Sheet'!D84</f>
        <v>-488.83</v>
      </c>
      <c r="E6" s="6">
        <f>'Data Sheet'!E84</f>
        <v>-242</v>
      </c>
      <c r="F6" s="6">
        <f>'Data Sheet'!F84</f>
        <v>-1234</v>
      </c>
      <c r="G6" s="6">
        <f>'Data Sheet'!G84</f>
        <v>-403</v>
      </c>
      <c r="H6" s="6">
        <f>'Data Sheet'!H84</f>
        <v>457</v>
      </c>
      <c r="I6" s="6">
        <f>'Data Sheet'!I84</f>
        <v>-1329</v>
      </c>
      <c r="J6" s="6">
        <f>'Data Sheet'!J84</f>
        <v>-7</v>
      </c>
      <c r="K6" s="6">
        <f>'Data Sheet'!K84</f>
        <v>-2159</v>
      </c>
    </row>
    <row r="7" spans="1:11" s="2" customFormat="1" x14ac:dyDescent="0.35">
      <c r="A7" s="2" t="s">
        <v>35</v>
      </c>
      <c r="B7" s="1">
        <f>'Data Sheet'!B85</f>
        <v>593.54999999999995</v>
      </c>
      <c r="C7" s="1">
        <f>'Data Sheet'!C85</f>
        <v>-205.95</v>
      </c>
      <c r="D7" s="1">
        <f>'Data Sheet'!D85</f>
        <v>-42.52</v>
      </c>
      <c r="E7" s="1">
        <f>'Data Sheet'!E85</f>
        <v>-355</v>
      </c>
      <c r="F7" s="1">
        <f>'Data Sheet'!F85</f>
        <v>106</v>
      </c>
      <c r="G7" s="1">
        <f>'Data Sheet'!G85</f>
        <v>38</v>
      </c>
      <c r="H7" s="1">
        <f>'Data Sheet'!H85</f>
        <v>13</v>
      </c>
      <c r="I7" s="1">
        <f>'Data Sheet'!I85</f>
        <v>177</v>
      </c>
      <c r="J7" s="1">
        <f>'Data Sheet'!J85</f>
        <v>-2</v>
      </c>
      <c r="K7" s="1">
        <f>'Data Sheet'!K85</f>
        <v>497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7" sqref="B17"/>
    </sheetView>
  </sheetViews>
  <sheetFormatPr defaultColWidth="8.81640625" defaultRowHeight="14.5" x14ac:dyDescent="0.35"/>
  <cols>
    <col min="1" max="1" width="8.81640625" style="2"/>
    <col min="2" max="2" width="10.453125" customWidth="1"/>
    <col min="3" max="3" width="13.36328125" style="20" customWidth="1"/>
    <col min="6" max="6" width="6.81640625" customWidth="1"/>
  </cols>
  <sheetData>
    <row r="1" spans="1:7" ht="21" x14ac:dyDescent="0.5">
      <c r="A1" s="19" t="s">
        <v>56</v>
      </c>
    </row>
    <row r="3" spans="1:7" x14ac:dyDescent="0.35">
      <c r="A3" s="2" t="s">
        <v>48</v>
      </c>
    </row>
    <row r="4" spans="1:7" x14ac:dyDescent="0.35">
      <c r="B4" t="s">
        <v>90</v>
      </c>
    </row>
    <row r="5" spans="1:7" x14ac:dyDescent="0.35">
      <c r="B5" t="s">
        <v>49</v>
      </c>
    </row>
    <row r="7" spans="1:7" x14ac:dyDescent="0.35">
      <c r="A7" s="2" t="s">
        <v>50</v>
      </c>
    </row>
    <row r="8" spans="1:7" x14ac:dyDescent="0.35">
      <c r="B8" t="s">
        <v>51</v>
      </c>
      <c r="C8" s="21" t="s">
        <v>91</v>
      </c>
    </row>
    <row r="10" spans="1:7" x14ac:dyDescent="0.35">
      <c r="A10" s="2" t="s">
        <v>52</v>
      </c>
    </row>
    <row r="11" spans="1:7" x14ac:dyDescent="0.35">
      <c r="B11" t="s">
        <v>53</v>
      </c>
    </row>
    <row r="14" spans="1:7" x14ac:dyDescent="0.35">
      <c r="A14" s="2" t="s">
        <v>54</v>
      </c>
    </row>
    <row r="15" spans="1:7" x14ac:dyDescent="0.35">
      <c r="B15" t="s">
        <v>55</v>
      </c>
    </row>
    <row r="16" spans="1:7" x14ac:dyDescent="0.3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4021-D521-4950-9328-A046AB3D880B}">
  <sheetPr>
    <tabColor theme="7" tint="-0.249977111117893"/>
  </sheetPr>
  <dimension ref="A1"/>
  <sheetViews>
    <sheetView showGridLines="0" workbookViewId="0"/>
  </sheetViews>
  <sheetFormatPr defaultRowHeight="14.5" x14ac:dyDescent="0.35"/>
  <cols>
    <col min="1" max="1" width="1.81640625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76F18-2BF6-45FB-B4DB-45532A105DB3}">
  <dimension ref="A2:R103"/>
  <sheetViews>
    <sheetView showGridLines="0" tabSelected="1" zoomScale="104" zoomScaleNormal="99" workbookViewId="0">
      <pane ySplit="3" topLeftCell="A83" activePane="bottomLeft" state="frozen"/>
      <selection pane="bottomLeft" activeCell="G1" sqref="G1"/>
    </sheetView>
  </sheetViews>
  <sheetFormatPr defaultRowHeight="14.5" x14ac:dyDescent="0.35"/>
  <cols>
    <col min="1" max="1" width="1.81640625" customWidth="1"/>
    <col min="2" max="2" width="27" bestFit="1" customWidth="1"/>
    <col min="3" max="3" width="15.26953125" bestFit="1" customWidth="1"/>
    <col min="4" max="13" width="12.08984375" customWidth="1"/>
  </cols>
  <sheetData>
    <row r="2" spans="1:13" x14ac:dyDescent="0.35">
      <c r="B2" s="70" t="str">
        <f>"Historical Financial statement - "&amp;'Data Sheet'!B1</f>
        <v>Historical Financial statement - TITAN COMPANY LTD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</row>
    <row r="3" spans="1:13" x14ac:dyDescent="0.35">
      <c r="B3" s="25" t="s">
        <v>93</v>
      </c>
      <c r="C3" s="26">
        <f>'Data Sheet'!B16</f>
        <v>42825</v>
      </c>
      <c r="D3" s="26">
        <f>'Data Sheet'!C16</f>
        <v>43190</v>
      </c>
      <c r="E3" s="26">
        <f>'Data Sheet'!D16</f>
        <v>43555</v>
      </c>
      <c r="F3" s="26">
        <f>'Data Sheet'!E16</f>
        <v>43921</v>
      </c>
      <c r="G3" s="26">
        <f>'Data Sheet'!F16</f>
        <v>44286</v>
      </c>
      <c r="H3" s="26">
        <f>'Data Sheet'!G16</f>
        <v>44651</v>
      </c>
      <c r="I3" s="26">
        <f>'Data Sheet'!H16</f>
        <v>45016</v>
      </c>
      <c r="J3" s="26">
        <f>'Data Sheet'!I16</f>
        <v>45382</v>
      </c>
      <c r="K3" s="26">
        <f>'Data Sheet'!J16</f>
        <v>45747</v>
      </c>
      <c r="L3" s="26">
        <f>'Data Sheet'!K16</f>
        <v>46112</v>
      </c>
      <c r="M3" s="27" t="s">
        <v>94</v>
      </c>
    </row>
    <row r="4" spans="1:13" x14ac:dyDescent="0.35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</row>
    <row r="5" spans="1:13" x14ac:dyDescent="0.35">
      <c r="A5" t="s">
        <v>96</v>
      </c>
      <c r="B5" s="32" t="s">
        <v>95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x14ac:dyDescent="0.35">
      <c r="B6" t="s">
        <v>97</v>
      </c>
      <c r="C6" s="28">
        <f>IFERROR('Data Sheet'!B17,0)</f>
        <v>13260.83</v>
      </c>
      <c r="D6" s="28">
        <f>IFERROR('Data Sheet'!C17,0)</f>
        <v>16119.77</v>
      </c>
      <c r="E6" s="28">
        <f>IFERROR('Data Sheet'!D17,0)</f>
        <v>19778.52</v>
      </c>
      <c r="F6" s="28">
        <f>IFERROR('Data Sheet'!E17,0)</f>
        <v>21052</v>
      </c>
      <c r="G6" s="28">
        <f>IFERROR('Data Sheet'!F17,0)</f>
        <v>21644</v>
      </c>
      <c r="H6" s="28">
        <f>IFERROR('Data Sheet'!G17,0)</f>
        <v>28799</v>
      </c>
      <c r="I6" s="28">
        <f>IFERROR('Data Sheet'!H17,0)</f>
        <v>40575</v>
      </c>
      <c r="J6" s="28">
        <f>IFERROR('Data Sheet'!I17,0)</f>
        <v>51084</v>
      </c>
      <c r="K6" s="28">
        <f>IFERROR('Data Sheet'!J17,0)</f>
        <v>60456</v>
      </c>
      <c r="L6" s="28">
        <f>IFERROR('Data Sheet'!K17,0)</f>
        <v>87584</v>
      </c>
      <c r="M6" s="28">
        <f>IFERROR(SUM('Data Sheet'!H42:K42),0)</f>
        <v>87584</v>
      </c>
    </row>
    <row r="7" spans="1:13" x14ac:dyDescent="0.35">
      <c r="B7" s="29" t="s">
        <v>22</v>
      </c>
      <c r="C7" s="37" t="s">
        <v>98</v>
      </c>
      <c r="D7" s="30">
        <f>IFERROR(D6/C6-1,0)</f>
        <v>0.21559283996552248</v>
      </c>
      <c r="E7" s="30">
        <f t="shared" ref="E7:M7" si="0">IFERROR(E6/D6-1,0)</f>
        <v>0.22697284142391605</v>
      </c>
      <c r="F7" s="30">
        <f t="shared" si="0"/>
        <v>6.4387021880302431E-2</v>
      </c>
      <c r="G7" s="30">
        <f t="shared" si="0"/>
        <v>2.8120843625308867E-2</v>
      </c>
      <c r="H7" s="30">
        <f t="shared" si="0"/>
        <v>0.33057660321567184</v>
      </c>
      <c r="I7" s="30">
        <f t="shared" si="0"/>
        <v>0.40890308691274013</v>
      </c>
      <c r="J7" s="30">
        <f t="shared" si="0"/>
        <v>0.25900184842883545</v>
      </c>
      <c r="K7" s="30">
        <f t="shared" si="0"/>
        <v>0.18346253229974163</v>
      </c>
      <c r="L7" s="30">
        <f t="shared" si="0"/>
        <v>0.448723038242689</v>
      </c>
      <c r="M7" s="30">
        <f t="shared" si="0"/>
        <v>0</v>
      </c>
    </row>
    <row r="9" spans="1:13" x14ac:dyDescent="0.35">
      <c r="B9" t="s">
        <v>99</v>
      </c>
      <c r="C9" s="28">
        <f>IFERROR(SUM('Data Sheet'!B18,'Data Sheet'!B20:B22)-1*'Data Sheet'!B19,0)</f>
        <v>10606.01</v>
      </c>
      <c r="D9" s="28">
        <f>IFERROR(SUM('Data Sheet'!C18,'Data Sheet'!C20:C22)-1*'Data Sheet'!C19,0)</f>
        <v>12762.63</v>
      </c>
      <c r="E9" s="28">
        <f>IFERROR(SUM('Data Sheet'!D18,'Data Sheet'!D20:D22)-1*'Data Sheet'!D19,0)</f>
        <v>15660.48</v>
      </c>
      <c r="F9" s="28">
        <f>IFERROR(SUM('Data Sheet'!E18,'Data Sheet'!E20:E22)-1*'Data Sheet'!E19,0)</f>
        <v>16626</v>
      </c>
      <c r="G9" s="28">
        <f>IFERROR(SUM('Data Sheet'!F18,'Data Sheet'!F20:F22)-1*'Data Sheet'!F19,0)</f>
        <v>17661</v>
      </c>
      <c r="H9" s="28">
        <f>IFERROR(SUM('Data Sheet'!G18,'Data Sheet'!G20:G22)-1*'Data Sheet'!G19,0)</f>
        <v>23225</v>
      </c>
      <c r="I9" s="28">
        <f>IFERROR(SUM('Data Sheet'!H18,'Data Sheet'!H20:H22)-1*'Data Sheet'!H19,0)</f>
        <v>32295</v>
      </c>
      <c r="J9" s="28">
        <f>IFERROR(SUM('Data Sheet'!I18,'Data Sheet'!I20:I22)-1*'Data Sheet'!I19,0)</f>
        <v>41664</v>
      </c>
      <c r="K9" s="28">
        <f>IFERROR(SUM('Data Sheet'!J18,'Data Sheet'!J20:J22)-1*'Data Sheet'!J19,0)</f>
        <v>50024</v>
      </c>
      <c r="L9" s="28">
        <f>IFERROR(SUM('Data Sheet'!K18,'Data Sheet'!K20:K22)-1*'Data Sheet'!K19,0)</f>
        <v>72988</v>
      </c>
      <c r="M9" s="28">
        <f>IFERROR(SUM('Data Sheet'!H43:K43),0)</f>
        <v>79228</v>
      </c>
    </row>
    <row r="10" spans="1:13" x14ac:dyDescent="0.35">
      <c r="B10" s="29" t="s">
        <v>100</v>
      </c>
      <c r="C10" s="30">
        <f>C9/C6</f>
        <v>0.79979986169794803</v>
      </c>
      <c r="D10" s="30">
        <f t="shared" ref="D10:M10" si="1">D9/D6</f>
        <v>0.79173772330498504</v>
      </c>
      <c r="E10" s="30">
        <f t="shared" si="1"/>
        <v>0.79179230801900236</v>
      </c>
      <c r="F10" s="30">
        <f t="shared" si="1"/>
        <v>0.78975869276078281</v>
      </c>
      <c r="G10" s="30">
        <f t="shared" si="1"/>
        <v>0.81597671410090555</v>
      </c>
      <c r="H10" s="30">
        <f t="shared" si="1"/>
        <v>0.80645161290322576</v>
      </c>
      <c r="I10" s="30">
        <f t="shared" si="1"/>
        <v>0.79593345656192238</v>
      </c>
      <c r="J10" s="30">
        <f t="shared" si="1"/>
        <v>0.81559783885365278</v>
      </c>
      <c r="K10" s="30">
        <f t="shared" si="1"/>
        <v>0.82744475320894539</v>
      </c>
      <c r="L10" s="30">
        <f t="shared" si="1"/>
        <v>0.83334855681402997</v>
      </c>
      <c r="M10" s="30">
        <f t="shared" si="1"/>
        <v>0.90459444647424192</v>
      </c>
    </row>
    <row r="12" spans="1:13" x14ac:dyDescent="0.35">
      <c r="B12" s="46" t="s">
        <v>108</v>
      </c>
      <c r="C12" s="47">
        <f>C6-C9</f>
        <v>2654.8199999999997</v>
      </c>
      <c r="D12" s="47">
        <f t="shared" ref="D12:L12" si="2">D6-D9</f>
        <v>3357.1400000000012</v>
      </c>
      <c r="E12" s="47">
        <f t="shared" si="2"/>
        <v>4118.0400000000009</v>
      </c>
      <c r="F12" s="47">
        <f t="shared" si="2"/>
        <v>4426</v>
      </c>
      <c r="G12" s="47">
        <f t="shared" si="2"/>
        <v>3983</v>
      </c>
      <c r="H12" s="47">
        <f t="shared" si="2"/>
        <v>5574</v>
      </c>
      <c r="I12" s="47">
        <f t="shared" si="2"/>
        <v>8280</v>
      </c>
      <c r="J12" s="47">
        <f t="shared" si="2"/>
        <v>9420</v>
      </c>
      <c r="K12" s="47">
        <f t="shared" si="2"/>
        <v>10432</v>
      </c>
      <c r="L12" s="47">
        <f t="shared" si="2"/>
        <v>14596</v>
      </c>
      <c r="M12" s="47">
        <f>M6-M9</f>
        <v>8356</v>
      </c>
    </row>
    <row r="13" spans="1:13" x14ac:dyDescent="0.35">
      <c r="B13" s="29" t="s">
        <v>101</v>
      </c>
      <c r="C13" s="30">
        <f>C12/C6</f>
        <v>0.20020013830205197</v>
      </c>
      <c r="D13" s="30">
        <f t="shared" ref="D13:M13" si="3">D12/D6</f>
        <v>0.20826227669501496</v>
      </c>
      <c r="E13" s="30">
        <f t="shared" si="3"/>
        <v>0.20820769198099762</v>
      </c>
      <c r="F13" s="30">
        <f t="shared" si="3"/>
        <v>0.21024130723921719</v>
      </c>
      <c r="G13" s="30">
        <f t="shared" si="3"/>
        <v>0.18402328589909445</v>
      </c>
      <c r="H13" s="30">
        <f t="shared" si="3"/>
        <v>0.19354838709677419</v>
      </c>
      <c r="I13" s="30">
        <f t="shared" si="3"/>
        <v>0.20406654343807765</v>
      </c>
      <c r="J13" s="30">
        <f t="shared" si="3"/>
        <v>0.18440216114634719</v>
      </c>
      <c r="K13" s="30">
        <f t="shared" si="3"/>
        <v>0.17255524679105466</v>
      </c>
      <c r="L13" s="30">
        <f t="shared" si="3"/>
        <v>0.16665144318597003</v>
      </c>
      <c r="M13" s="30">
        <f t="shared" si="3"/>
        <v>9.5405553525758136E-2</v>
      </c>
    </row>
    <row r="14" spans="1:13" x14ac:dyDescent="0.35"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x14ac:dyDescent="0.35">
      <c r="B15" t="s">
        <v>102</v>
      </c>
      <c r="C15" s="31">
        <f>IFERROR(SUM('Data Sheet'!B23:B24),0)</f>
        <v>1490.92</v>
      </c>
      <c r="D15" s="31">
        <f>IFERROR(SUM('Data Sheet'!C23:C24),0)</f>
        <v>1712.94</v>
      </c>
      <c r="E15" s="31">
        <f>IFERROR(SUM('Data Sheet'!D23:D24),0)</f>
        <v>2124.25</v>
      </c>
      <c r="F15" s="31">
        <f>IFERROR(SUM('Data Sheet'!E23:E24),0)</f>
        <v>1963</v>
      </c>
      <c r="G15" s="31">
        <f>IFERROR(SUM('Data Sheet'!F23:F24),0)</f>
        <v>2258</v>
      </c>
      <c r="H15" s="31">
        <f>IFERROR(SUM('Data Sheet'!G23:G24),0)</f>
        <v>2230</v>
      </c>
      <c r="I15" s="31">
        <f>IFERROR(SUM('Data Sheet'!H23:H24),0)</f>
        <v>3398</v>
      </c>
      <c r="J15" s="31">
        <f>IFERROR(SUM('Data Sheet'!I23:I24),0)</f>
        <v>4128</v>
      </c>
      <c r="K15" s="31">
        <f>IFERROR(SUM('Data Sheet'!J23:J24),0)</f>
        <v>4738</v>
      </c>
      <c r="L15" s="31">
        <f>IFERROR(SUM('Data Sheet'!K23:K24),0)</f>
        <v>6241</v>
      </c>
      <c r="M15" s="39">
        <f>IFERROR(SUM('Data Sheet'!L23:L24),0)</f>
        <v>0</v>
      </c>
    </row>
    <row r="16" spans="1:13" x14ac:dyDescent="0.35">
      <c r="B16" s="29" t="s">
        <v>103</v>
      </c>
      <c r="C16" s="30">
        <f>C15/C6</f>
        <v>0.11243036823486917</v>
      </c>
      <c r="D16" s="30">
        <f t="shared" ref="D16:M16" si="4">D15/D6</f>
        <v>0.10626330276424539</v>
      </c>
      <c r="E16" s="30">
        <f t="shared" si="4"/>
        <v>0.10740186828943722</v>
      </c>
      <c r="F16" s="30">
        <f t="shared" si="4"/>
        <v>9.3245297358920773E-2</v>
      </c>
      <c r="G16" s="30">
        <f t="shared" si="4"/>
        <v>0.10432452411753834</v>
      </c>
      <c r="H16" s="30">
        <f t="shared" si="4"/>
        <v>7.7433244209868399E-2</v>
      </c>
      <c r="I16" s="30">
        <f t="shared" si="4"/>
        <v>8.3746149106592727E-2</v>
      </c>
      <c r="J16" s="30">
        <f t="shared" si="4"/>
        <v>8.0808080808080815E-2</v>
      </c>
      <c r="K16" s="30">
        <f t="shared" si="4"/>
        <v>7.8371046711658066E-2</v>
      </c>
      <c r="L16" s="30">
        <f t="shared" si="4"/>
        <v>7.1257307270734385E-2</v>
      </c>
      <c r="M16" s="30">
        <f t="shared" si="4"/>
        <v>0</v>
      </c>
    </row>
    <row r="18" spans="2:13" s="2" customFormat="1" x14ac:dyDescent="0.35">
      <c r="B18" s="46" t="s">
        <v>104</v>
      </c>
      <c r="C18" s="47">
        <f>C12-C15</f>
        <v>1163.8999999999996</v>
      </c>
      <c r="D18" s="47">
        <f t="shared" ref="D18:M18" si="5">D12-D15</f>
        <v>1644.2000000000012</v>
      </c>
      <c r="E18" s="47">
        <f t="shared" si="5"/>
        <v>1993.7900000000009</v>
      </c>
      <c r="F18" s="47">
        <f t="shared" si="5"/>
        <v>2463</v>
      </c>
      <c r="G18" s="47">
        <f t="shared" si="5"/>
        <v>1725</v>
      </c>
      <c r="H18" s="47">
        <f t="shared" si="5"/>
        <v>3344</v>
      </c>
      <c r="I18" s="47">
        <f t="shared" si="5"/>
        <v>4882</v>
      </c>
      <c r="J18" s="47">
        <f t="shared" si="5"/>
        <v>5292</v>
      </c>
      <c r="K18" s="47">
        <f t="shared" si="5"/>
        <v>5694</v>
      </c>
      <c r="L18" s="47">
        <f t="shared" si="5"/>
        <v>8355</v>
      </c>
      <c r="M18" s="47">
        <f t="shared" si="5"/>
        <v>8356</v>
      </c>
    </row>
    <row r="19" spans="2:13" x14ac:dyDescent="0.35">
      <c r="B19" s="29" t="s">
        <v>105</v>
      </c>
      <c r="C19" s="30">
        <f>C18/C6</f>
        <v>8.7769770067182798E-2</v>
      </c>
      <c r="D19" s="30">
        <f t="shared" ref="D19:M19" si="6">D18/D6</f>
        <v>0.10199897393076955</v>
      </c>
      <c r="E19" s="30">
        <f t="shared" si="6"/>
        <v>0.10080582369156038</v>
      </c>
      <c r="F19" s="30">
        <f t="shared" si="6"/>
        <v>0.1169960098802964</v>
      </c>
      <c r="G19" s="30">
        <f t="shared" si="6"/>
        <v>7.9698761781556091E-2</v>
      </c>
      <c r="H19" s="30">
        <f t="shared" si="6"/>
        <v>0.11611514288690579</v>
      </c>
      <c r="I19" s="30">
        <f t="shared" si="6"/>
        <v>0.12032039433148491</v>
      </c>
      <c r="J19" s="30">
        <f t="shared" si="6"/>
        <v>0.10359408033826638</v>
      </c>
      <c r="K19" s="30">
        <f t="shared" si="6"/>
        <v>9.4184200079396582E-2</v>
      </c>
      <c r="L19" s="30">
        <f t="shared" si="6"/>
        <v>9.5394135915235656E-2</v>
      </c>
      <c r="M19" s="30">
        <f t="shared" si="6"/>
        <v>9.5405553525758136E-2</v>
      </c>
    </row>
    <row r="21" spans="2:13" x14ac:dyDescent="0.35">
      <c r="B21" t="s">
        <v>11</v>
      </c>
      <c r="C21" s="31">
        <f>IFERROR('Data Sheet'!B27,0)</f>
        <v>37.74</v>
      </c>
      <c r="D21" s="31">
        <f>IFERROR('Data Sheet'!C27,0)</f>
        <v>52.92</v>
      </c>
      <c r="E21" s="31">
        <f>IFERROR('Data Sheet'!D27,0)</f>
        <v>52.54</v>
      </c>
      <c r="F21" s="31">
        <f>IFERROR('Data Sheet'!E27,0)</f>
        <v>166</v>
      </c>
      <c r="G21" s="31">
        <f>IFERROR('Data Sheet'!F27,0)</f>
        <v>203</v>
      </c>
      <c r="H21" s="31">
        <f>IFERROR('Data Sheet'!G27,0)</f>
        <v>218</v>
      </c>
      <c r="I21" s="31">
        <f>IFERROR('Data Sheet'!H27,0)</f>
        <v>300</v>
      </c>
      <c r="J21" s="31">
        <f>IFERROR('Data Sheet'!I27,0)</f>
        <v>619</v>
      </c>
      <c r="K21" s="31">
        <f>IFERROR('Data Sheet'!J27,0)</f>
        <v>953</v>
      </c>
      <c r="L21" s="31">
        <f>IFERROR('Data Sheet'!K27,0)</f>
        <v>1180</v>
      </c>
      <c r="M21" s="31">
        <f>IFERROR(SUM('Data Sheet'!H46:K46),0)</f>
        <v>1180</v>
      </c>
    </row>
    <row r="22" spans="2:13" x14ac:dyDescent="0.35">
      <c r="B22" s="29" t="s">
        <v>106</v>
      </c>
      <c r="C22" s="30">
        <f t="shared" ref="C22:M22" si="7">C21/C6</f>
        <v>2.845975704386528E-3</v>
      </c>
      <c r="D22" s="30">
        <f t="shared" si="7"/>
        <v>3.2829252526555899E-3</v>
      </c>
      <c r="E22" s="30">
        <f t="shared" si="7"/>
        <v>2.6564171636704868E-3</v>
      </c>
      <c r="F22" s="30">
        <f t="shared" si="7"/>
        <v>7.8852365570967128E-3</v>
      </c>
      <c r="G22" s="30">
        <f t="shared" si="7"/>
        <v>9.3790426908150065E-3</v>
      </c>
      <c r="H22" s="30">
        <f t="shared" si="7"/>
        <v>7.5697072815028299E-3</v>
      </c>
      <c r="I22" s="30">
        <f t="shared" si="7"/>
        <v>7.3937153419593345E-3</v>
      </c>
      <c r="J22" s="30">
        <f t="shared" si="7"/>
        <v>1.2117297001017931E-2</v>
      </c>
      <c r="K22" s="30">
        <f t="shared" si="7"/>
        <v>1.5763530501521766E-2</v>
      </c>
      <c r="L22" s="30">
        <f t="shared" si="7"/>
        <v>1.3472780416514432E-2</v>
      </c>
      <c r="M22" s="30">
        <f t="shared" si="7"/>
        <v>1.3472780416514432E-2</v>
      </c>
    </row>
    <row r="24" spans="2:13" x14ac:dyDescent="0.35">
      <c r="B24" t="s">
        <v>10</v>
      </c>
      <c r="C24" s="31">
        <f>IFERROR('Data Sheet'!B26,0)</f>
        <v>110.53</v>
      </c>
      <c r="D24" s="31">
        <f>IFERROR('Data Sheet'!C26,0)</f>
        <v>131.43</v>
      </c>
      <c r="E24" s="31">
        <f>IFERROR('Data Sheet'!D26,0)</f>
        <v>162.84</v>
      </c>
      <c r="F24" s="31">
        <f>IFERROR('Data Sheet'!E26,0)</f>
        <v>348</v>
      </c>
      <c r="G24" s="31">
        <f>IFERROR('Data Sheet'!F26,0)</f>
        <v>375</v>
      </c>
      <c r="H24" s="31">
        <f>IFERROR('Data Sheet'!G26,0)</f>
        <v>399</v>
      </c>
      <c r="I24" s="31">
        <f>IFERROR('Data Sheet'!H26,0)</f>
        <v>441</v>
      </c>
      <c r="J24" s="31">
        <f>IFERROR('Data Sheet'!I26,0)</f>
        <v>584</v>
      </c>
      <c r="K24" s="31">
        <f>IFERROR('Data Sheet'!J26,0)</f>
        <v>693</v>
      </c>
      <c r="L24" s="31">
        <f>IFERROR('Data Sheet'!K26,0)</f>
        <v>826</v>
      </c>
      <c r="M24" s="31">
        <f>IFERROR(SUM('Data Sheet'!H45:K45),0)</f>
        <v>826</v>
      </c>
    </row>
    <row r="25" spans="2:13" x14ac:dyDescent="0.35">
      <c r="B25" s="29" t="s">
        <v>107</v>
      </c>
      <c r="C25" s="30">
        <f t="shared" ref="C25:M25" si="8">C24/C6</f>
        <v>8.3350740489094577E-3</v>
      </c>
      <c r="D25" s="30">
        <f t="shared" si="8"/>
        <v>8.1533421382563153E-3</v>
      </c>
      <c r="E25" s="30">
        <f t="shared" si="8"/>
        <v>8.2331741707670752E-3</v>
      </c>
      <c r="F25" s="30">
        <f t="shared" si="8"/>
        <v>1.6530495914877447E-2</v>
      </c>
      <c r="G25" s="30">
        <f t="shared" si="8"/>
        <v>1.7325817778599151E-2</v>
      </c>
      <c r="H25" s="30">
        <f t="shared" si="8"/>
        <v>1.3854647730823988E-2</v>
      </c>
      <c r="I25" s="30">
        <f t="shared" si="8"/>
        <v>1.0868761552680222E-2</v>
      </c>
      <c r="J25" s="30">
        <f t="shared" si="8"/>
        <v>1.1432150967034689E-2</v>
      </c>
      <c r="K25" s="30">
        <f t="shared" si="8"/>
        <v>1.146288209606987E-2</v>
      </c>
      <c r="L25" s="30">
        <f t="shared" si="8"/>
        <v>9.4309462915601015E-3</v>
      </c>
      <c r="M25" s="30">
        <f t="shared" si="8"/>
        <v>9.4309462915601015E-3</v>
      </c>
    </row>
    <row r="27" spans="2:13" s="2" customFormat="1" x14ac:dyDescent="0.35">
      <c r="B27" s="46" t="s">
        <v>109</v>
      </c>
      <c r="C27" s="47">
        <f t="shared" ref="C27:M27" si="9">IFERROR(C18-SUM(C21,C24),0)</f>
        <v>1015.6299999999997</v>
      </c>
      <c r="D27" s="47">
        <f t="shared" si="9"/>
        <v>1459.8500000000013</v>
      </c>
      <c r="E27" s="47">
        <f t="shared" si="9"/>
        <v>1778.4100000000008</v>
      </c>
      <c r="F27" s="47">
        <f t="shared" si="9"/>
        <v>1949</v>
      </c>
      <c r="G27" s="47">
        <f t="shared" si="9"/>
        <v>1147</v>
      </c>
      <c r="H27" s="47">
        <f t="shared" si="9"/>
        <v>2727</v>
      </c>
      <c r="I27" s="47">
        <f t="shared" si="9"/>
        <v>4141</v>
      </c>
      <c r="J27" s="47">
        <f t="shared" si="9"/>
        <v>4089</v>
      </c>
      <c r="K27" s="47">
        <f t="shared" si="9"/>
        <v>4048</v>
      </c>
      <c r="L27" s="47">
        <f t="shared" si="9"/>
        <v>6349</v>
      </c>
      <c r="M27" s="47">
        <f t="shared" si="9"/>
        <v>6350</v>
      </c>
    </row>
    <row r="28" spans="2:13" x14ac:dyDescent="0.35">
      <c r="B28" s="29" t="s">
        <v>110</v>
      </c>
      <c r="C28" s="30">
        <f>C27/C6</f>
        <v>7.6588720313886818E-2</v>
      </c>
      <c r="D28" s="30">
        <f t="shared" ref="D28:M28" si="10">D27/D6</f>
        <v>9.0562706539857651E-2</v>
      </c>
      <c r="E28" s="30">
        <f t="shared" si="10"/>
        <v>8.9916232357122816E-2</v>
      </c>
      <c r="F28" s="30">
        <f t="shared" si="10"/>
        <v>9.2580277408322253E-2</v>
      </c>
      <c r="G28" s="30">
        <f t="shared" si="10"/>
        <v>5.2993901312141933E-2</v>
      </c>
      <c r="H28" s="30">
        <f t="shared" si="10"/>
        <v>9.4690787874578977E-2</v>
      </c>
      <c r="I28" s="30">
        <f t="shared" si="10"/>
        <v>0.10205791743684535</v>
      </c>
      <c r="J28" s="30">
        <f t="shared" si="10"/>
        <v>8.0044632370213767E-2</v>
      </c>
      <c r="K28" s="30">
        <f t="shared" si="10"/>
        <v>6.6957787481804948E-2</v>
      </c>
      <c r="L28" s="30">
        <f t="shared" si="10"/>
        <v>7.2490409207161127E-2</v>
      </c>
      <c r="M28" s="30">
        <f t="shared" si="10"/>
        <v>7.2501826817683593E-2</v>
      </c>
    </row>
    <row r="30" spans="2:13" x14ac:dyDescent="0.35">
      <c r="B30" t="s">
        <v>13</v>
      </c>
      <c r="C30" s="31">
        <f>IFERROR('Data Sheet'!B29,0)</f>
        <v>275.97000000000003</v>
      </c>
      <c r="D30" s="31">
        <f>IFERROR('Data Sheet'!C29,0)</f>
        <v>427.87</v>
      </c>
      <c r="E30" s="31">
        <f>IFERROR('Data Sheet'!D29,0)</f>
        <v>568.24</v>
      </c>
      <c r="F30" s="31">
        <f>IFERROR('Data Sheet'!E29,0)</f>
        <v>609</v>
      </c>
      <c r="G30" s="31">
        <f>IFERROR('Data Sheet'!F29,0)</f>
        <v>353</v>
      </c>
      <c r="H30" s="31">
        <f>IFERROR('Data Sheet'!G29,0)</f>
        <v>706</v>
      </c>
      <c r="I30" s="31">
        <f>IFERROR('Data Sheet'!H29,0)</f>
        <v>1173</v>
      </c>
      <c r="J30" s="31">
        <f>IFERROR('Data Sheet'!I29,0)</f>
        <v>1127</v>
      </c>
      <c r="K30" s="31">
        <f>IFERROR('Data Sheet'!J29,0)</f>
        <v>1198</v>
      </c>
      <c r="L30" s="31">
        <f>IFERROR('Data Sheet'!K29,0)</f>
        <v>1728</v>
      </c>
      <c r="M30" s="31">
        <f>IFERROR(SUM('Data Sheet'!H29:K29),0)</f>
        <v>5226</v>
      </c>
    </row>
    <row r="31" spans="2:13" x14ac:dyDescent="0.35">
      <c r="B31" s="29" t="s">
        <v>111</v>
      </c>
      <c r="C31" s="30">
        <f>C30/C27</f>
        <v>0.27172296997922485</v>
      </c>
      <c r="D31" s="30">
        <f t="shared" ref="D31:M31" si="11">D30/D27</f>
        <v>0.29309175600232873</v>
      </c>
      <c r="E31" s="30">
        <f t="shared" si="11"/>
        <v>0.31952137021271798</v>
      </c>
      <c r="F31" s="30">
        <f t="shared" si="11"/>
        <v>0.31246793227296049</v>
      </c>
      <c r="G31" s="30">
        <f t="shared" si="11"/>
        <v>0.30775937227550132</v>
      </c>
      <c r="H31" s="30">
        <f t="shared" si="11"/>
        <v>0.2588925559222589</v>
      </c>
      <c r="I31" s="30">
        <f t="shared" si="11"/>
        <v>0.28326491185703934</v>
      </c>
      <c r="J31" s="30">
        <f t="shared" si="11"/>
        <v>0.27561751039373927</v>
      </c>
      <c r="K31" s="30">
        <f t="shared" si="11"/>
        <v>0.29594861660079053</v>
      </c>
      <c r="L31" s="30">
        <f t="shared" si="11"/>
        <v>0.27216884548747833</v>
      </c>
      <c r="M31" s="30">
        <f t="shared" si="11"/>
        <v>0.82299212598425198</v>
      </c>
    </row>
    <row r="33" spans="1:18" s="2" customFormat="1" x14ac:dyDescent="0.35">
      <c r="B33" s="46" t="s">
        <v>112</v>
      </c>
      <c r="C33" s="47">
        <f>IFERROR(C27-C30,0)</f>
        <v>739.65999999999963</v>
      </c>
      <c r="D33" s="47">
        <f t="shared" ref="D33:M33" si="12">IFERROR(D27-D30,0)</f>
        <v>1031.9800000000014</v>
      </c>
      <c r="E33" s="47">
        <f t="shared" si="12"/>
        <v>1210.1700000000008</v>
      </c>
      <c r="F33" s="47">
        <f t="shared" si="12"/>
        <v>1340</v>
      </c>
      <c r="G33" s="47">
        <f t="shared" si="12"/>
        <v>794</v>
      </c>
      <c r="H33" s="47">
        <f t="shared" si="12"/>
        <v>2021</v>
      </c>
      <c r="I33" s="47">
        <f t="shared" si="12"/>
        <v>2968</v>
      </c>
      <c r="J33" s="47">
        <f t="shared" si="12"/>
        <v>2962</v>
      </c>
      <c r="K33" s="47">
        <f t="shared" si="12"/>
        <v>2850</v>
      </c>
      <c r="L33" s="47">
        <f t="shared" si="12"/>
        <v>4621</v>
      </c>
      <c r="M33" s="47">
        <f t="shared" si="12"/>
        <v>1124</v>
      </c>
    </row>
    <row r="34" spans="1:18" x14ac:dyDescent="0.35">
      <c r="B34" s="29" t="s">
        <v>113</v>
      </c>
      <c r="C34" s="30">
        <f t="shared" ref="C34:M34" si="13">C33/C6</f>
        <v>5.57778057632893E-2</v>
      </c>
      <c r="D34" s="30">
        <f t="shared" si="13"/>
        <v>6.4019523851767193E-2</v>
      </c>
      <c r="E34" s="30">
        <f t="shared" si="13"/>
        <v>6.1186074590009805E-2</v>
      </c>
      <c r="F34" s="30">
        <f t="shared" si="13"/>
        <v>6.3651909557286723E-2</v>
      </c>
      <c r="G34" s="30">
        <f t="shared" si="13"/>
        <v>3.6684531509887264E-2</v>
      </c>
      <c r="H34" s="30">
        <f t="shared" si="13"/>
        <v>7.0176047779436784E-2</v>
      </c>
      <c r="I34" s="30">
        <f t="shared" si="13"/>
        <v>7.3148490449784345E-2</v>
      </c>
      <c r="J34" s="30">
        <f t="shared" si="13"/>
        <v>5.7982930075953329E-2</v>
      </c>
      <c r="K34" s="30">
        <f t="shared" si="13"/>
        <v>4.7141722905915048E-2</v>
      </c>
      <c r="L34" s="30">
        <f t="shared" si="13"/>
        <v>5.2760778224333213E-2</v>
      </c>
      <c r="M34" s="30">
        <f t="shared" si="13"/>
        <v>1.283339422725612E-2</v>
      </c>
    </row>
    <row r="36" spans="1:18" x14ac:dyDescent="0.35">
      <c r="B36" t="s">
        <v>114</v>
      </c>
      <c r="C36" s="38">
        <f>IFERROR('Data Sheet'!B93,0)</f>
        <v>88.78</v>
      </c>
      <c r="D36" s="38">
        <f>IFERROR('Data Sheet'!C93,0)</f>
        <v>88.78</v>
      </c>
      <c r="E36" s="38">
        <f>IFERROR('Data Sheet'!D93,0)</f>
        <v>88.78</v>
      </c>
      <c r="F36" s="38">
        <f>IFERROR('Data Sheet'!E93,0)</f>
        <v>88.78</v>
      </c>
      <c r="G36" s="38">
        <f>IFERROR('Data Sheet'!F93,0)</f>
        <v>88.78</v>
      </c>
      <c r="H36" s="38">
        <f>IFERROR('Data Sheet'!G93,0)</f>
        <v>88.78</v>
      </c>
      <c r="I36" s="38">
        <f>IFERROR('Data Sheet'!H93,0)</f>
        <v>88.78</v>
      </c>
      <c r="J36" s="38">
        <f>IFERROR('Data Sheet'!I93,0)</f>
        <v>88.78</v>
      </c>
      <c r="K36" s="38">
        <f>IFERROR('Data Sheet'!J93,0)</f>
        <v>88.78</v>
      </c>
      <c r="L36" s="38">
        <f>IFERROR('Data Sheet'!K93,0)</f>
        <v>88.78</v>
      </c>
      <c r="M36" s="38">
        <f>IFERROR(L36,0)</f>
        <v>88.78</v>
      </c>
      <c r="N36" s="38"/>
    </row>
    <row r="37" spans="1:18" x14ac:dyDescent="0.35"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8" x14ac:dyDescent="0.35">
      <c r="B38" t="s">
        <v>117</v>
      </c>
      <c r="C38" s="31">
        <f>IFERROR(C33/C36,0)</f>
        <v>8.3313809416535207</v>
      </c>
      <c r="D38" s="31">
        <f t="shared" ref="D38:M38" si="14">IFERROR(D33/D36,0)</f>
        <v>11.624014417661652</v>
      </c>
      <c r="E38" s="31">
        <f t="shared" si="14"/>
        <v>13.631110610497869</v>
      </c>
      <c r="F38" s="31">
        <f t="shared" si="14"/>
        <v>15.093489524667717</v>
      </c>
      <c r="G38" s="31">
        <f t="shared" si="14"/>
        <v>8.9434557332732592</v>
      </c>
      <c r="H38" s="31">
        <f t="shared" si="14"/>
        <v>22.764136066681687</v>
      </c>
      <c r="I38" s="31">
        <f t="shared" si="14"/>
        <v>33.430952917323722</v>
      </c>
      <c r="J38" s="31">
        <f t="shared" si="14"/>
        <v>33.363370128407297</v>
      </c>
      <c r="K38" s="31">
        <f t="shared" si="14"/>
        <v>32.101824735300745</v>
      </c>
      <c r="L38" s="31">
        <f t="shared" si="14"/>
        <v>52.050011263798154</v>
      </c>
      <c r="M38" s="31">
        <f t="shared" si="14"/>
        <v>12.660509123676503</v>
      </c>
    </row>
    <row r="39" spans="1:18" x14ac:dyDescent="0.35">
      <c r="B39" s="29" t="s">
        <v>116</v>
      </c>
      <c r="C39" s="30"/>
      <c r="D39" s="30">
        <f>IFERROR(D38/C38-1,0)</f>
        <v>0.3952086093610605</v>
      </c>
      <c r="E39" s="30">
        <f t="shared" ref="E39:M39" si="15">IFERROR(E38/D38-1,0)</f>
        <v>0.1726680749626921</v>
      </c>
      <c r="F39" s="30">
        <f t="shared" si="15"/>
        <v>0.1072824479205392</v>
      </c>
      <c r="G39" s="30">
        <f t="shared" si="15"/>
        <v>-0.40746268656716422</v>
      </c>
      <c r="H39" s="30">
        <f t="shared" si="15"/>
        <v>1.5453400503778343</v>
      </c>
      <c r="I39" s="30">
        <f t="shared" si="15"/>
        <v>0.46857991093518048</v>
      </c>
      <c r="J39" s="30">
        <f t="shared" si="15"/>
        <v>-2.0215633423181778E-3</v>
      </c>
      <c r="K39" s="30">
        <f t="shared" si="15"/>
        <v>-3.781228899392286E-2</v>
      </c>
      <c r="L39" s="30">
        <f t="shared" si="15"/>
        <v>0.62140350877192985</v>
      </c>
      <c r="M39" s="30">
        <f t="shared" si="15"/>
        <v>-0.75676260549664576</v>
      </c>
    </row>
    <row r="41" spans="1:18" x14ac:dyDescent="0.35">
      <c r="B41" t="s">
        <v>115</v>
      </c>
      <c r="C41" s="31">
        <f>IFERROR('Data Sheet'!B31/'Historical FS'!C36,0)</f>
        <v>2.6000225275963054</v>
      </c>
      <c r="D41" s="31">
        <f>IFERROR('Data Sheet'!C31/'Historical FS'!D36,0)</f>
        <v>3.7499436810092366</v>
      </c>
      <c r="E41" s="31">
        <f>IFERROR('Data Sheet'!D31/'Historical FS'!E36,0)</f>
        <v>5</v>
      </c>
      <c r="F41" s="31">
        <f>IFERROR('Data Sheet'!E31/'Historical FS'!F36,0)</f>
        <v>4.0099121423744082</v>
      </c>
      <c r="G41" s="31">
        <f>IFERROR('Data Sheet'!F31/'Historical FS'!G36,0)</f>
        <v>4.0099121423744082</v>
      </c>
      <c r="H41" s="31">
        <f>IFERROR('Data Sheet'!G31/'Historical FS'!H36,0)</f>
        <v>7.5185852669520159</v>
      </c>
      <c r="I41" s="31">
        <f>IFERROR('Data Sheet'!H31/'Historical FS'!I36,0)</f>
        <v>10.024780355936022</v>
      </c>
      <c r="J41" s="31">
        <f>IFERROR('Data Sheet'!I31/'Historical FS'!J36,0)</f>
        <v>11.027258391529625</v>
      </c>
      <c r="K41" s="31">
        <f>IFERROR('Data Sheet'!J31/'Historical FS'!K36,0)</f>
        <v>11.027258391529625</v>
      </c>
      <c r="L41" s="31">
        <f>IFERROR('Data Sheet'!K31/'Historical FS'!L36,0)</f>
        <v>15.037170533904032</v>
      </c>
      <c r="M41" s="39">
        <f>IFERROR('Data Sheet'!L31/'Historical FS'!M36,0)</f>
        <v>0</v>
      </c>
    </row>
    <row r="42" spans="1:18" x14ac:dyDescent="0.35">
      <c r="B42" s="29" t="s">
        <v>118</v>
      </c>
      <c r="C42" s="30">
        <f>IFERROR(C41/C38,0)</f>
        <v>0.31207581861936584</v>
      </c>
      <c r="D42" s="30">
        <f t="shared" ref="D42:M42" si="16">IFERROR(D41/D38,0)</f>
        <v>0.32260315122386052</v>
      </c>
      <c r="E42" s="30">
        <f t="shared" si="16"/>
        <v>0.36680796912830405</v>
      </c>
      <c r="F42" s="30">
        <f t="shared" si="16"/>
        <v>0.26567164179104474</v>
      </c>
      <c r="G42" s="30">
        <f t="shared" si="16"/>
        <v>0.44836272040302266</v>
      </c>
      <c r="H42" s="30">
        <f t="shared" si="16"/>
        <v>0.33028203859475502</v>
      </c>
      <c r="I42" s="30">
        <f t="shared" si="16"/>
        <v>0.29986522911051211</v>
      </c>
      <c r="J42" s="30">
        <f t="shared" si="16"/>
        <v>0.3305199189736665</v>
      </c>
      <c r="K42" s="30">
        <f t="shared" si="16"/>
        <v>0.34350877192982454</v>
      </c>
      <c r="L42" s="30">
        <f t="shared" si="16"/>
        <v>0.28889850681670631</v>
      </c>
      <c r="M42" s="30">
        <f t="shared" si="16"/>
        <v>0</v>
      </c>
    </row>
    <row r="44" spans="1:18" x14ac:dyDescent="0.35">
      <c r="B44" t="s">
        <v>119</v>
      </c>
      <c r="C44" s="40">
        <f>IFERROR(IF(C38&gt;C41,1-C42,0),0)</f>
        <v>0.68792418138063416</v>
      </c>
      <c r="D44" s="40">
        <f t="shared" ref="D44:M44" si="17">IFERROR(IF(D38&gt;D41,1-D42,0),0)</f>
        <v>0.67739684877613948</v>
      </c>
      <c r="E44" s="40">
        <f t="shared" si="17"/>
        <v>0.63319203087169595</v>
      </c>
      <c r="F44" s="40">
        <f t="shared" si="17"/>
        <v>0.73432835820895526</v>
      </c>
      <c r="G44" s="40">
        <f t="shared" si="17"/>
        <v>0.55163727959697728</v>
      </c>
      <c r="H44" s="40">
        <f t="shared" si="17"/>
        <v>0.66971796140524498</v>
      </c>
      <c r="I44" s="40">
        <f t="shared" si="17"/>
        <v>0.70013477088948783</v>
      </c>
      <c r="J44" s="40">
        <f t="shared" si="17"/>
        <v>0.6694800810263335</v>
      </c>
      <c r="K44" s="40">
        <f t="shared" si="17"/>
        <v>0.65649122807017546</v>
      </c>
      <c r="L44" s="40">
        <f t="shared" si="17"/>
        <v>0.71110149318329374</v>
      </c>
      <c r="M44" s="40">
        <f t="shared" si="17"/>
        <v>1</v>
      </c>
    </row>
    <row r="45" spans="1:18" x14ac:dyDescent="0.35">
      <c r="R45" s="41"/>
    </row>
    <row r="46" spans="1:18" x14ac:dyDescent="0.35">
      <c r="A46" t="s">
        <v>96</v>
      </c>
      <c r="B46" s="32" t="s">
        <v>120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</row>
    <row r="47" spans="1:18" x14ac:dyDescent="0.35">
      <c r="B47" t="s">
        <v>24</v>
      </c>
      <c r="C47" s="31">
        <f>IFERROR('Data Sheet'!B57,0)</f>
        <v>88.78</v>
      </c>
      <c r="D47" s="31">
        <f>IFERROR('Data Sheet'!C57,0)</f>
        <v>88.78</v>
      </c>
      <c r="E47" s="31">
        <f>IFERROR('Data Sheet'!D57,0)</f>
        <v>88.78</v>
      </c>
      <c r="F47" s="31">
        <f>IFERROR('Data Sheet'!E57,0)</f>
        <v>89</v>
      </c>
      <c r="G47" s="31">
        <f>IFERROR('Data Sheet'!F57,0)</f>
        <v>89</v>
      </c>
      <c r="H47" s="31">
        <f>IFERROR('Data Sheet'!G57,0)</f>
        <v>89</v>
      </c>
      <c r="I47" s="31">
        <f>IFERROR('Data Sheet'!H57,0)</f>
        <v>89</v>
      </c>
      <c r="J47" s="31">
        <f>IFERROR('Data Sheet'!I57,0)</f>
        <v>89</v>
      </c>
      <c r="K47" s="31">
        <f>IFERROR('Data Sheet'!J57,0)</f>
        <v>89</v>
      </c>
      <c r="L47" s="31">
        <f>IFERROR('Data Sheet'!K57,0)</f>
        <v>89</v>
      </c>
    </row>
    <row r="48" spans="1:18" x14ac:dyDescent="0.35">
      <c r="B48" t="s">
        <v>25</v>
      </c>
      <c r="C48" s="31">
        <f>IFERROR('Data Sheet'!B58,0)</f>
        <v>4143.6000000000004</v>
      </c>
      <c r="D48" s="31">
        <f>IFERROR('Data Sheet'!C58,0)</f>
        <v>5001.1000000000004</v>
      </c>
      <c r="E48" s="31">
        <f>IFERROR('Data Sheet'!D58,0)</f>
        <v>5981.37</v>
      </c>
      <c r="F48" s="31">
        <f>IFERROR('Data Sheet'!E58,0)</f>
        <v>6580</v>
      </c>
      <c r="G48" s="31">
        <f>IFERROR('Data Sheet'!F58,0)</f>
        <v>7408</v>
      </c>
      <c r="H48" s="31">
        <f>IFERROR('Data Sheet'!G58,0)</f>
        <v>9214</v>
      </c>
      <c r="I48" s="31">
        <f>IFERROR('Data Sheet'!H58,0)</f>
        <v>11762</v>
      </c>
      <c r="J48" s="31">
        <f>IFERROR('Data Sheet'!I58,0)</f>
        <v>9304</v>
      </c>
      <c r="K48" s="31">
        <f>IFERROR('Data Sheet'!J58,0)</f>
        <v>11535</v>
      </c>
      <c r="L48" s="31">
        <f>IFERROR('Data Sheet'!K58,0)</f>
        <v>15614</v>
      </c>
    </row>
    <row r="49" spans="2:13" x14ac:dyDescent="0.35">
      <c r="B49" t="s">
        <v>71</v>
      </c>
      <c r="C49" s="31">
        <f>IFERROR('Data Sheet'!B59,0)</f>
        <v>1882.43</v>
      </c>
      <c r="D49" s="31">
        <f>IFERROR('Data Sheet'!C59,0)</f>
        <v>1691.01</v>
      </c>
      <c r="E49" s="31">
        <f>IFERROR('Data Sheet'!D59,0)</f>
        <v>2392.98</v>
      </c>
      <c r="F49" s="31">
        <f>IFERROR('Data Sheet'!E59,0)</f>
        <v>3562</v>
      </c>
      <c r="G49" s="31">
        <f>IFERROR('Data Sheet'!F59,0)</f>
        <v>5638</v>
      </c>
      <c r="H49" s="31">
        <f>IFERROR('Data Sheet'!G59,0)</f>
        <v>7275</v>
      </c>
      <c r="I49" s="31">
        <f>IFERROR('Data Sheet'!H59,0)</f>
        <v>9367</v>
      </c>
      <c r="J49" s="31">
        <f>IFERROR('Data Sheet'!I59,0)</f>
        <v>15528</v>
      </c>
      <c r="K49" s="31">
        <f>IFERROR('Data Sheet'!J59,0)</f>
        <v>20777</v>
      </c>
      <c r="L49" s="31">
        <f>IFERROR('Data Sheet'!K59,0)</f>
        <v>14551</v>
      </c>
    </row>
    <row r="50" spans="2:13" x14ac:dyDescent="0.35">
      <c r="B50" t="s">
        <v>72</v>
      </c>
      <c r="C50" s="31">
        <f>IFERROR('Data Sheet'!B60,0)</f>
        <v>2292.7600000000002</v>
      </c>
      <c r="D50" s="31">
        <f>IFERROR('Data Sheet'!C60,0)</f>
        <v>2740.15</v>
      </c>
      <c r="E50" s="31">
        <f>IFERROR('Data Sheet'!D60,0)</f>
        <v>3246.71</v>
      </c>
      <c r="F50" s="31">
        <f>IFERROR('Data Sheet'!E60,0)</f>
        <v>3313</v>
      </c>
      <c r="G50" s="31">
        <f>IFERROR('Data Sheet'!F60,0)</f>
        <v>3309</v>
      </c>
      <c r="H50" s="31">
        <f>IFERROR('Data Sheet'!G60,0)</f>
        <v>4610</v>
      </c>
      <c r="I50" s="31">
        <f>IFERROR('Data Sheet'!H60,0)</f>
        <v>5802</v>
      </c>
      <c r="J50" s="31">
        <f>IFERROR('Data Sheet'!I60,0)</f>
        <v>6626</v>
      </c>
      <c r="K50" s="31">
        <f>IFERROR('Data Sheet'!J60,0)</f>
        <v>8244</v>
      </c>
      <c r="L50" s="31">
        <f>IFERROR('Data Sheet'!K60,0)</f>
        <v>30307</v>
      </c>
    </row>
    <row r="51" spans="2:13" s="2" customFormat="1" x14ac:dyDescent="0.35">
      <c r="B51" s="46" t="s">
        <v>121</v>
      </c>
      <c r="C51" s="47">
        <f>IFERROR('Data Sheet'!B61,0)</f>
        <v>8407.57</v>
      </c>
      <c r="D51" s="47">
        <f>IFERROR('Data Sheet'!C61,0)</f>
        <v>9521.0400000000009</v>
      </c>
      <c r="E51" s="47">
        <f>IFERROR('Data Sheet'!D61,0)</f>
        <v>11709.84</v>
      </c>
      <c r="F51" s="47">
        <f>IFERROR('Data Sheet'!E61,0)</f>
        <v>13544</v>
      </c>
      <c r="G51" s="47">
        <f>IFERROR('Data Sheet'!F61,0)</f>
        <v>16444</v>
      </c>
      <c r="H51" s="47">
        <f>IFERROR('Data Sheet'!G61,0)</f>
        <v>21188</v>
      </c>
      <c r="I51" s="47">
        <f>IFERROR('Data Sheet'!H61,0)</f>
        <v>27020</v>
      </c>
      <c r="J51" s="47">
        <f>IFERROR('Data Sheet'!I61,0)</f>
        <v>31547</v>
      </c>
      <c r="K51" s="47">
        <f>IFERROR('Data Sheet'!J61,0)</f>
        <v>40645</v>
      </c>
      <c r="L51" s="47">
        <f>IFERROR('Data Sheet'!K61,0)</f>
        <v>60561</v>
      </c>
    </row>
    <row r="53" spans="2:13" x14ac:dyDescent="0.35">
      <c r="B53" t="s">
        <v>123</v>
      </c>
      <c r="C53" s="31">
        <f>IFERROR('Data Sheet'!B62,0)</f>
        <v>1188.72</v>
      </c>
      <c r="D53" s="31">
        <f>IFERROR('Data Sheet'!C62,0)</f>
        <v>1473.81</v>
      </c>
      <c r="E53" s="31">
        <f>IFERROR('Data Sheet'!D62,0)</f>
        <v>1566.63</v>
      </c>
      <c r="F53" s="31">
        <f>IFERROR('Data Sheet'!E62,0)</f>
        <v>2633</v>
      </c>
      <c r="G53" s="31">
        <f>IFERROR('Data Sheet'!F62,0)</f>
        <v>2523</v>
      </c>
      <c r="H53" s="31">
        <f>IFERROR('Data Sheet'!G62,0)</f>
        <v>2544</v>
      </c>
      <c r="I53" s="31">
        <f>IFERROR('Data Sheet'!H62,0)</f>
        <v>2998</v>
      </c>
      <c r="J53" s="31">
        <f>IFERROR('Data Sheet'!I62,0)</f>
        <v>3709</v>
      </c>
      <c r="K53" s="31">
        <f>IFERROR('Data Sheet'!J62,0)</f>
        <v>4062</v>
      </c>
      <c r="L53" s="31">
        <f>IFERROR('Data Sheet'!K62,0)</f>
        <v>6906</v>
      </c>
    </row>
    <row r="54" spans="2:13" x14ac:dyDescent="0.35">
      <c r="B54" t="s">
        <v>28</v>
      </c>
      <c r="C54" s="31">
        <f>IFERROR('Data Sheet'!B63,0)</f>
        <v>152.07</v>
      </c>
      <c r="D54" s="31">
        <f>IFERROR('Data Sheet'!C63,0)</f>
        <v>43.37</v>
      </c>
      <c r="E54" s="31">
        <f>IFERROR('Data Sheet'!D63,0)</f>
        <v>31.77</v>
      </c>
      <c r="F54" s="31">
        <f>IFERROR('Data Sheet'!E63,0)</f>
        <v>18</v>
      </c>
      <c r="G54" s="31">
        <f>IFERROR('Data Sheet'!F63,0)</f>
        <v>32</v>
      </c>
      <c r="H54" s="31">
        <f>IFERROR('Data Sheet'!G63,0)</f>
        <v>85</v>
      </c>
      <c r="I54" s="31">
        <f>IFERROR('Data Sheet'!H63,0)</f>
        <v>144</v>
      </c>
      <c r="J54" s="31">
        <f>IFERROR('Data Sheet'!I63,0)</f>
        <v>97</v>
      </c>
      <c r="K54" s="31">
        <f>IFERROR('Data Sheet'!J63,0)</f>
        <v>105</v>
      </c>
      <c r="L54" s="31">
        <f>IFERROR('Data Sheet'!K63,0)</f>
        <v>135</v>
      </c>
    </row>
    <row r="55" spans="2:13" x14ac:dyDescent="0.35">
      <c r="B55" t="s">
        <v>29</v>
      </c>
      <c r="C55" s="31">
        <f>IFERROR('Data Sheet'!B64,0)</f>
        <v>430.73</v>
      </c>
      <c r="D55" s="31">
        <f>IFERROR('Data Sheet'!C64,0)</f>
        <v>35.99</v>
      </c>
      <c r="E55" s="31">
        <f>IFERROR('Data Sheet'!D64,0)</f>
        <v>108.42</v>
      </c>
      <c r="F55" s="31">
        <f>IFERROR('Data Sheet'!E64,0)</f>
        <v>158</v>
      </c>
      <c r="G55" s="31">
        <f>IFERROR('Data Sheet'!F64,0)</f>
        <v>2824</v>
      </c>
      <c r="H55" s="31">
        <f>IFERROR('Data Sheet'!G64,0)</f>
        <v>294</v>
      </c>
      <c r="I55" s="31">
        <f>IFERROR('Data Sheet'!H64,0)</f>
        <v>2515</v>
      </c>
      <c r="J55" s="31">
        <f>IFERROR('Data Sheet'!I64,0)</f>
        <v>2345</v>
      </c>
      <c r="K55" s="31">
        <f>IFERROR('Data Sheet'!J64,0)</f>
        <v>1988</v>
      </c>
      <c r="L55" s="31">
        <f>IFERROR('Data Sheet'!K64,0)</f>
        <v>3506</v>
      </c>
    </row>
    <row r="56" spans="2:13" x14ac:dyDescent="0.35">
      <c r="B56" t="s">
        <v>73</v>
      </c>
      <c r="C56" s="31">
        <f>IFERROR('Data Sheet'!B65-SUM('Data Sheet'!B67:B69),0)</f>
        <v>723.77999999999975</v>
      </c>
      <c r="D56" s="31">
        <f>IFERROR('Data Sheet'!C65-SUM('Data Sheet'!C67:C69),0)</f>
        <v>1129.4300000000003</v>
      </c>
      <c r="E56" s="31">
        <f>IFERROR('Data Sheet'!D65-SUM('Data Sheet'!D67:D69),0)</f>
        <v>1477.2700000000004</v>
      </c>
      <c r="F56" s="31">
        <f>IFERROR('Data Sheet'!E65-SUM('Data Sheet'!E67:E69),0)</f>
        <v>1939</v>
      </c>
      <c r="G56" s="31">
        <f>IFERROR('Data Sheet'!F65-SUM('Data Sheet'!F67:F69),0)</f>
        <v>1731</v>
      </c>
      <c r="H56" s="31">
        <f>IFERROR('Data Sheet'!G65-SUM('Data Sheet'!G67:G69),0)</f>
        <v>2518</v>
      </c>
      <c r="I56" s="31">
        <f>IFERROR('Data Sheet'!H65-SUM('Data Sheet'!H67:H69),0)</f>
        <v>2762</v>
      </c>
      <c r="J56" s="31">
        <f>IFERROR('Data Sheet'!I65-SUM('Data Sheet'!I67:I69),0)</f>
        <v>3801</v>
      </c>
      <c r="K56" s="31">
        <f>IFERROR('Data Sheet'!J65-SUM('Data Sheet'!J67:J69),0)</f>
        <v>3654</v>
      </c>
      <c r="L56" s="31">
        <f>IFERROR('Data Sheet'!K65-SUM('Data Sheet'!K67:K69),0)</f>
        <v>4438</v>
      </c>
    </row>
    <row r="57" spans="2:13" s="2" customFormat="1" x14ac:dyDescent="0.35">
      <c r="B57" s="46" t="s">
        <v>124</v>
      </c>
      <c r="C57" s="47">
        <f>SUM(C53:C56)</f>
        <v>2495.2999999999997</v>
      </c>
      <c r="D57" s="47">
        <f t="shared" ref="D57:L57" si="18">SUM(D53:D56)</f>
        <v>2682.6000000000004</v>
      </c>
      <c r="E57" s="47">
        <f t="shared" si="18"/>
        <v>3184.0900000000006</v>
      </c>
      <c r="F57" s="47">
        <f t="shared" si="18"/>
        <v>4748</v>
      </c>
      <c r="G57" s="47">
        <f t="shared" si="18"/>
        <v>7110</v>
      </c>
      <c r="H57" s="47">
        <f t="shared" si="18"/>
        <v>5441</v>
      </c>
      <c r="I57" s="47">
        <f t="shared" si="18"/>
        <v>8419</v>
      </c>
      <c r="J57" s="47">
        <f t="shared" si="18"/>
        <v>9952</v>
      </c>
      <c r="K57" s="47">
        <f t="shared" si="18"/>
        <v>9809</v>
      </c>
      <c r="L57" s="47">
        <f t="shared" si="18"/>
        <v>14985</v>
      </c>
    </row>
    <row r="58" spans="2:13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2:13" x14ac:dyDescent="0.35">
      <c r="B59" t="s">
        <v>78</v>
      </c>
      <c r="C59" s="31">
        <f>IFERROR('Data Sheet'!B67,0)</f>
        <v>207.6</v>
      </c>
      <c r="D59" s="31">
        <f>IFERROR('Data Sheet'!C67,0)</f>
        <v>295.69</v>
      </c>
      <c r="E59" s="31">
        <f>IFERROR('Data Sheet'!D67,0)</f>
        <v>420.45</v>
      </c>
      <c r="F59" s="31">
        <f>IFERROR('Data Sheet'!E67,0)</f>
        <v>312</v>
      </c>
      <c r="G59" s="31">
        <f>IFERROR('Data Sheet'!F67,0)</f>
        <v>366</v>
      </c>
      <c r="H59" s="31">
        <f>IFERROR('Data Sheet'!G67,0)</f>
        <v>565</v>
      </c>
      <c r="I59" s="31">
        <f>IFERROR('Data Sheet'!H67,0)</f>
        <v>674</v>
      </c>
      <c r="J59" s="31">
        <f>IFERROR('Data Sheet'!I67,0)</f>
        <v>1018</v>
      </c>
      <c r="K59" s="31">
        <f>IFERROR('Data Sheet'!J67,0)</f>
        <v>1068</v>
      </c>
      <c r="L59" s="31">
        <f>IFERROR('Data Sheet'!K67,0)</f>
        <v>916</v>
      </c>
    </row>
    <row r="60" spans="2:13" x14ac:dyDescent="0.35">
      <c r="B60" t="s">
        <v>45</v>
      </c>
      <c r="C60" s="31">
        <f>IFERROR('Data Sheet'!B68,0)</f>
        <v>4925.74</v>
      </c>
      <c r="D60" s="31">
        <f>IFERROR('Data Sheet'!C68,0)</f>
        <v>5924.84</v>
      </c>
      <c r="E60" s="31">
        <f>IFERROR('Data Sheet'!D68,0)</f>
        <v>7038.82</v>
      </c>
      <c r="F60" s="31">
        <f>IFERROR('Data Sheet'!E68,0)</f>
        <v>8103</v>
      </c>
      <c r="G60" s="31">
        <f>IFERROR('Data Sheet'!F68,0)</f>
        <v>8408</v>
      </c>
      <c r="H60" s="31">
        <f>IFERROR('Data Sheet'!G68,0)</f>
        <v>13609</v>
      </c>
      <c r="I60" s="31">
        <f>IFERROR('Data Sheet'!H68,0)</f>
        <v>16584</v>
      </c>
      <c r="J60" s="31">
        <f>IFERROR('Data Sheet'!I68,0)</f>
        <v>19051</v>
      </c>
      <c r="K60" s="31">
        <f>IFERROR('Data Sheet'!J68,0)</f>
        <v>28184</v>
      </c>
      <c r="L60" s="31">
        <f>IFERROR('Data Sheet'!K68,0)</f>
        <v>42743</v>
      </c>
    </row>
    <row r="61" spans="2:13" x14ac:dyDescent="0.35">
      <c r="B61" t="s">
        <v>87</v>
      </c>
      <c r="C61" s="31">
        <f>IFERROR('Data Sheet'!B69,0)</f>
        <v>778.93</v>
      </c>
      <c r="D61" s="31">
        <f>IFERROR('Data Sheet'!C69,0)</f>
        <v>617.91</v>
      </c>
      <c r="E61" s="31">
        <f>IFERROR('Data Sheet'!D69,0)</f>
        <v>1066.48</v>
      </c>
      <c r="F61" s="31">
        <f>IFERROR('Data Sheet'!E69,0)</f>
        <v>381</v>
      </c>
      <c r="G61" s="31">
        <f>IFERROR('Data Sheet'!F69,0)</f>
        <v>560</v>
      </c>
      <c r="H61" s="31">
        <f>IFERROR('Data Sheet'!G69,0)</f>
        <v>1573</v>
      </c>
      <c r="I61" s="31">
        <f>IFERROR('Data Sheet'!H69,0)</f>
        <v>1343</v>
      </c>
      <c r="J61" s="31">
        <f>IFERROR('Data Sheet'!I69,0)</f>
        <v>1526</v>
      </c>
      <c r="K61" s="31">
        <f>IFERROR('Data Sheet'!J69,0)</f>
        <v>1584</v>
      </c>
      <c r="L61" s="31">
        <f>IFERROR('Data Sheet'!K69,0)</f>
        <v>1917</v>
      </c>
    </row>
    <row r="62" spans="2:13" s="2" customFormat="1" x14ac:dyDescent="0.35">
      <c r="B62" s="46" t="s">
        <v>125</v>
      </c>
      <c r="C62" s="47">
        <f>IFERROR(SUM(C59:C61),0)</f>
        <v>5912.27</v>
      </c>
      <c r="D62" s="47">
        <f t="shared" ref="D62:L62" si="19">IFERROR(SUM(D59:D61),0)</f>
        <v>6838.44</v>
      </c>
      <c r="E62" s="47">
        <f t="shared" si="19"/>
        <v>8525.75</v>
      </c>
      <c r="F62" s="47">
        <f t="shared" si="19"/>
        <v>8796</v>
      </c>
      <c r="G62" s="47">
        <f t="shared" si="19"/>
        <v>9334</v>
      </c>
      <c r="H62" s="47">
        <f t="shared" si="19"/>
        <v>15747</v>
      </c>
      <c r="I62" s="47">
        <f t="shared" si="19"/>
        <v>18601</v>
      </c>
      <c r="J62" s="47">
        <f t="shared" si="19"/>
        <v>21595</v>
      </c>
      <c r="K62" s="47">
        <f t="shared" si="19"/>
        <v>30836</v>
      </c>
      <c r="L62" s="47">
        <f t="shared" si="19"/>
        <v>45576</v>
      </c>
    </row>
    <row r="64" spans="2:13" s="2" customFormat="1" x14ac:dyDescent="0.35">
      <c r="B64" s="46" t="s">
        <v>122</v>
      </c>
      <c r="C64" s="47">
        <f>IFERROR(C57+C62,0)</f>
        <v>8407.57</v>
      </c>
      <c r="D64" s="47">
        <f t="shared" ref="D64:L64" si="20">IFERROR(D57+D62,0)</f>
        <v>9521.0400000000009</v>
      </c>
      <c r="E64" s="47">
        <f t="shared" si="20"/>
        <v>11709.84</v>
      </c>
      <c r="F64" s="47">
        <f t="shared" si="20"/>
        <v>13544</v>
      </c>
      <c r="G64" s="47">
        <f t="shared" si="20"/>
        <v>16444</v>
      </c>
      <c r="H64" s="47">
        <f t="shared" si="20"/>
        <v>21188</v>
      </c>
      <c r="I64" s="47">
        <f t="shared" si="20"/>
        <v>27020</v>
      </c>
      <c r="J64" s="47">
        <f t="shared" si="20"/>
        <v>31547</v>
      </c>
      <c r="K64" s="47">
        <f t="shared" si="20"/>
        <v>40645</v>
      </c>
      <c r="L64" s="47">
        <f t="shared" si="20"/>
        <v>60561</v>
      </c>
    </row>
    <row r="66" spans="2:13" x14ac:dyDescent="0.35">
      <c r="B66" s="29" t="s">
        <v>126</v>
      </c>
      <c r="C66" s="30" t="b">
        <f>C64=C51</f>
        <v>1</v>
      </c>
      <c r="D66" s="30" t="b">
        <f t="shared" ref="D66:L66" si="21">D64=D51</f>
        <v>1</v>
      </c>
      <c r="E66" s="30" t="b">
        <f t="shared" si="21"/>
        <v>1</v>
      </c>
      <c r="F66" s="30" t="b">
        <f t="shared" si="21"/>
        <v>1</v>
      </c>
      <c r="G66" s="30" t="b">
        <f t="shared" si="21"/>
        <v>1</v>
      </c>
      <c r="H66" s="30" t="b">
        <f t="shared" si="21"/>
        <v>1</v>
      </c>
      <c r="I66" s="30" t="b">
        <f t="shared" si="21"/>
        <v>1</v>
      </c>
      <c r="J66" s="30" t="b">
        <f t="shared" si="21"/>
        <v>1</v>
      </c>
      <c r="K66" s="30" t="b">
        <f t="shared" si="21"/>
        <v>1</v>
      </c>
      <c r="L66" s="30" t="b">
        <f t="shared" si="21"/>
        <v>1</v>
      </c>
      <c r="M66" s="30"/>
    </row>
    <row r="68" spans="2:13" x14ac:dyDescent="0.35">
      <c r="B68" s="32" t="s">
        <v>153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</row>
    <row r="69" spans="2:13" x14ac:dyDescent="0.35">
      <c r="B69" s="2" t="s">
        <v>155</v>
      </c>
    </row>
    <row r="70" spans="2:13" x14ac:dyDescent="0.35">
      <c r="B70" t="s">
        <v>127</v>
      </c>
      <c r="C70" s="44">
        <f>IFERROR('cashflow data '!E3,0)</f>
        <v>1712</v>
      </c>
      <c r="D70" s="44">
        <f>IFERROR('cashflow data '!F3,0)</f>
        <v>-51</v>
      </c>
      <c r="E70" s="44">
        <f>IFERROR('cashflow data '!G3,0)</f>
        <v>1243</v>
      </c>
      <c r="F70" s="44">
        <f>IFERROR('cashflow data '!H3,0)</f>
        <v>-348</v>
      </c>
      <c r="G70" s="44">
        <f>IFERROR('cashflow data '!I3,0)</f>
        <v>4139</v>
      </c>
      <c r="H70" s="44">
        <f>IFERROR('cashflow data '!J3,0)</f>
        <v>-724</v>
      </c>
      <c r="I70" s="44">
        <f>IFERROR('cashflow data '!K3,0)</f>
        <v>1370</v>
      </c>
      <c r="J70" s="44">
        <f>IFERROR('cashflow data '!L3,0)</f>
        <v>1695</v>
      </c>
      <c r="K70" s="44">
        <f>IFERROR('cashflow data '!M3,0)</f>
        <v>-541</v>
      </c>
      <c r="L70" s="44">
        <f>IFERROR('cashflow data '!N3,0)</f>
        <v>5590</v>
      </c>
    </row>
    <row r="71" spans="2:13" x14ac:dyDescent="0.35">
      <c r="B71" t="s">
        <v>78</v>
      </c>
      <c r="C71" s="44">
        <f>IFERROR('cashflow data '!E4,0)</f>
        <v>1073</v>
      </c>
      <c r="D71" s="44">
        <f>IFERROR('cashflow data '!F4,0)</f>
        <v>1642</v>
      </c>
      <c r="E71" s="44">
        <f>IFERROR('cashflow data '!G4,0)</f>
        <v>2183</v>
      </c>
      <c r="F71" s="44">
        <f>IFERROR('cashflow data '!H4,0)</f>
        <v>2481</v>
      </c>
      <c r="G71" s="44">
        <f>IFERROR('cashflow data '!I4,0)</f>
        <v>1789</v>
      </c>
      <c r="H71" s="44">
        <f>IFERROR('cashflow data '!J4,0)</f>
        <v>3298</v>
      </c>
      <c r="I71" s="44">
        <f>IFERROR('cashflow data '!K4,0)</f>
        <v>4937</v>
      </c>
      <c r="J71" s="44">
        <f>IFERROR('cashflow data '!L4,0)</f>
        <v>5404</v>
      </c>
      <c r="K71" s="44">
        <f>IFERROR('cashflow data '!M4,0)</f>
        <v>5774</v>
      </c>
      <c r="L71" s="44">
        <f>IFERROR('cashflow data '!N4,0)</f>
        <v>8447</v>
      </c>
    </row>
    <row r="72" spans="2:13" x14ac:dyDescent="0.35">
      <c r="B72" t="s">
        <v>45</v>
      </c>
      <c r="C72" s="44">
        <f>IFERROR('cashflow data '!E5,0)</f>
        <v>-12</v>
      </c>
      <c r="D72" s="44">
        <f>IFERROR('cashflow data '!F5,0)</f>
        <v>-90</v>
      </c>
      <c r="E72" s="44">
        <f>IFERROR('cashflow data '!G5,0)</f>
        <v>-139</v>
      </c>
      <c r="F72" s="44">
        <f>IFERROR('cashflow data '!H5,0)</f>
        <v>109</v>
      </c>
      <c r="G72" s="44">
        <f>IFERROR('cashflow data '!I5,0)</f>
        <v>-59</v>
      </c>
      <c r="H72" s="44">
        <f>IFERROR('cashflow data '!J5,0)</f>
        <v>-207</v>
      </c>
      <c r="I72" s="44">
        <f>IFERROR('cashflow data '!K5,0)</f>
        <v>-112</v>
      </c>
      <c r="J72" s="44">
        <f>IFERROR('cashflow data '!L5,0)</f>
        <v>-348</v>
      </c>
      <c r="K72" s="44">
        <f>IFERROR('cashflow data '!M5,0)</f>
        <v>-95</v>
      </c>
      <c r="L72" s="44">
        <f>IFERROR('cashflow data '!N5,0)</f>
        <v>210</v>
      </c>
    </row>
    <row r="73" spans="2:13" x14ac:dyDescent="0.35">
      <c r="B73" t="s">
        <v>128</v>
      </c>
      <c r="C73" s="44">
        <f>IFERROR('cashflow data '!E6,0)</f>
        <v>-448</v>
      </c>
      <c r="D73" s="44">
        <f>IFERROR('cashflow data '!F6,0)</f>
        <v>-996</v>
      </c>
      <c r="E73" s="44">
        <f>IFERROR('cashflow data '!G6,0)</f>
        <v>-1120</v>
      </c>
      <c r="F73" s="44">
        <f>IFERROR('cashflow data '!H6,0)</f>
        <v>-1057</v>
      </c>
      <c r="G73" s="44">
        <f>IFERROR('cashflow data '!I6,0)</f>
        <v>-316</v>
      </c>
      <c r="H73" s="44">
        <f>IFERROR('cashflow data '!J6,0)</f>
        <v>-5199</v>
      </c>
      <c r="I73" s="44">
        <f>IFERROR('cashflow data '!K6,0)</f>
        <v>-2977</v>
      </c>
      <c r="J73" s="44">
        <f>IFERROR('cashflow data '!L6,0)</f>
        <v>-2462</v>
      </c>
      <c r="K73" s="44">
        <f>IFERROR('cashflow data '!M6,0)</f>
        <v>-9072</v>
      </c>
      <c r="L73" s="44">
        <f>IFERROR('cashflow data '!N6,0)</f>
        <v>-11592</v>
      </c>
    </row>
    <row r="74" spans="2:13" x14ac:dyDescent="0.35">
      <c r="B74" t="s">
        <v>129</v>
      </c>
      <c r="C74" s="44">
        <f>IFERROR('cashflow data '!E7,0)</f>
        <v>238</v>
      </c>
      <c r="D74" s="44">
        <f>IFERROR('cashflow data '!F7,0)</f>
        <v>95</v>
      </c>
      <c r="E74" s="44">
        <f>IFERROR('cashflow data '!G7,0)</f>
        <v>32</v>
      </c>
      <c r="F74" s="44">
        <f>IFERROR('cashflow data '!H7,0)</f>
        <v>-310</v>
      </c>
      <c r="G74" s="44">
        <f>IFERROR('cashflow data '!I7,0)</f>
        <v>195</v>
      </c>
      <c r="H74" s="44">
        <f>IFERROR('cashflow data '!J7,0)</f>
        <v>504</v>
      </c>
      <c r="I74" s="44">
        <f>IFERROR('cashflow data '!K7,0)</f>
        <v>-89</v>
      </c>
      <c r="J74" s="44">
        <f>IFERROR('cashflow data '!L7,0)</f>
        <v>196</v>
      </c>
      <c r="K74" s="44">
        <f>IFERROR('cashflow data '!M7,0)</f>
        <v>564</v>
      </c>
      <c r="L74" s="44">
        <f>IFERROR('cashflow data '!N7,0)</f>
        <v>472</v>
      </c>
    </row>
    <row r="75" spans="2:13" x14ac:dyDescent="0.35">
      <c r="B75" t="s">
        <v>130</v>
      </c>
      <c r="C75" s="44">
        <f>IFERROR('cashflow data '!E8,0)</f>
        <v>0</v>
      </c>
      <c r="D75" s="44">
        <f>IFERROR('cashflow data '!F8,0)</f>
        <v>3</v>
      </c>
      <c r="E75" s="44">
        <f>IFERROR('cashflow data '!G8,0)</f>
        <v>-24</v>
      </c>
      <c r="F75" s="44">
        <f>IFERROR('cashflow data '!H8,0)</f>
        <v>-20</v>
      </c>
      <c r="G75" s="44">
        <f>IFERROR('cashflow data '!I8,0)</f>
        <v>-8</v>
      </c>
      <c r="H75" s="44">
        <f>IFERROR('cashflow data '!J8,0)</f>
        <v>-3</v>
      </c>
      <c r="I75" s="44">
        <f>IFERROR('cashflow data '!K8,0)</f>
        <v>-18</v>
      </c>
      <c r="J75" s="44">
        <f>IFERROR('cashflow data '!L8,0)</f>
        <v>-21</v>
      </c>
      <c r="K75" s="44">
        <f>IFERROR('cashflow data '!M8,0)</f>
        <v>4</v>
      </c>
      <c r="L75" s="44">
        <f>IFERROR('cashflow data '!N8,0)</f>
        <v>7296</v>
      </c>
    </row>
    <row r="76" spans="2:13" x14ac:dyDescent="0.35">
      <c r="B76" t="s">
        <v>131</v>
      </c>
      <c r="C76" s="44">
        <f>IFERROR('cashflow data '!E9,0)</f>
        <v>763</v>
      </c>
      <c r="D76" s="44">
        <f>IFERROR('cashflow data '!F9,0)</f>
        <v>-270</v>
      </c>
      <c r="E76" s="44">
        <f>IFERROR('cashflow data '!G9,0)</f>
        <v>741</v>
      </c>
      <c r="F76" s="44">
        <f>IFERROR('cashflow data '!H9,0)</f>
        <v>-768</v>
      </c>
      <c r="G76" s="44">
        <f>IFERROR('cashflow data '!I9,0)</f>
        <v>2625</v>
      </c>
      <c r="H76" s="44">
        <f>IFERROR('cashflow data '!J9,0)</f>
        <v>1188</v>
      </c>
      <c r="I76" s="44">
        <f>IFERROR('cashflow data '!K9,0)</f>
        <v>-99</v>
      </c>
      <c r="J76" s="44">
        <f>IFERROR('cashflow data '!L9,0)</f>
        <v>42</v>
      </c>
      <c r="K76" s="44">
        <f>IFERROR('cashflow data '!M9,0)</f>
        <v>2468</v>
      </c>
      <c r="L76" s="44">
        <f>IFERROR('cashflow data '!N9,0)</f>
        <v>0</v>
      </c>
    </row>
    <row r="77" spans="2:13" x14ac:dyDescent="0.35">
      <c r="B77" t="s">
        <v>132</v>
      </c>
      <c r="C77" s="44">
        <f>IFERROR('cashflow data '!E10,0)</f>
        <v>375</v>
      </c>
      <c r="D77" s="44">
        <f>IFERROR('cashflow data '!F10,0)</f>
        <v>22</v>
      </c>
      <c r="E77" s="44">
        <f>IFERROR('cashflow data '!G10,0)</f>
        <v>206</v>
      </c>
      <c r="F77" s="44">
        <f>IFERROR('cashflow data '!H10,0)</f>
        <v>-226</v>
      </c>
      <c r="G77" s="44">
        <f>IFERROR('cashflow data '!I10,0)</f>
        <v>184</v>
      </c>
      <c r="H77" s="44">
        <f>IFERROR('cashflow data '!J10,0)</f>
        <v>497</v>
      </c>
      <c r="I77" s="44">
        <f>IFERROR('cashflow data '!K10,0)</f>
        <v>882</v>
      </c>
      <c r="J77" s="44">
        <f>IFERROR('cashflow data '!L10,0)</f>
        <v>57</v>
      </c>
      <c r="K77" s="44">
        <f>IFERROR('cashflow data '!M10,0)</f>
        <v>905</v>
      </c>
      <c r="L77" s="44">
        <f>IFERROR('cashflow data '!N10,0)</f>
        <v>2494</v>
      </c>
    </row>
    <row r="78" spans="2:13" x14ac:dyDescent="0.35">
      <c r="B78" t="s">
        <v>133</v>
      </c>
      <c r="C78" s="44">
        <f>IFERROR('cashflow data '!E11,0)</f>
        <v>916</v>
      </c>
      <c r="D78" s="44">
        <f>IFERROR('cashflow data '!F11,0)</f>
        <v>-1237</v>
      </c>
      <c r="E78" s="44">
        <f>IFERROR('cashflow data '!G11,0)</f>
        <v>-304</v>
      </c>
      <c r="F78" s="44">
        <f>IFERROR('cashflow data '!H11,0)</f>
        <v>-2272</v>
      </c>
      <c r="G78" s="44">
        <f>IFERROR('cashflow data '!I11,0)</f>
        <v>2621</v>
      </c>
      <c r="H78" s="44">
        <f>IFERROR('cashflow data '!J11,0)</f>
        <v>-3220</v>
      </c>
      <c r="I78" s="44">
        <f>IFERROR('cashflow data '!K11,0)</f>
        <v>-2413</v>
      </c>
      <c r="J78" s="44">
        <f>IFERROR('cashflow data '!L11,0)</f>
        <v>-2536</v>
      </c>
      <c r="K78" s="44">
        <f>IFERROR('cashflow data '!M11,0)</f>
        <v>-5226</v>
      </c>
      <c r="L78" s="44">
        <f>IFERROR('cashflow data '!N11,0)</f>
        <v>-1120</v>
      </c>
    </row>
    <row r="79" spans="2:13" s="2" customFormat="1" x14ac:dyDescent="0.35">
      <c r="B79" s="2" t="s">
        <v>154</v>
      </c>
      <c r="C79" s="45">
        <f>SUM(C70:C78)</f>
        <v>4617</v>
      </c>
      <c r="D79" s="45">
        <f t="shared" ref="D79:L79" si="22">SUM(D70:D78)</f>
        <v>-882</v>
      </c>
      <c r="E79" s="45">
        <f t="shared" si="22"/>
        <v>2818</v>
      </c>
      <c r="F79" s="45">
        <f t="shared" si="22"/>
        <v>-2411</v>
      </c>
      <c r="G79" s="45">
        <f t="shared" si="22"/>
        <v>11170</v>
      </c>
      <c r="H79" s="45">
        <f t="shared" si="22"/>
        <v>-3866</v>
      </c>
      <c r="I79" s="45">
        <f t="shared" si="22"/>
        <v>1481</v>
      </c>
      <c r="J79" s="45">
        <f t="shared" si="22"/>
        <v>2027</v>
      </c>
      <c r="K79" s="45">
        <f t="shared" si="22"/>
        <v>-5219</v>
      </c>
      <c r="L79" s="45">
        <f t="shared" si="22"/>
        <v>11797</v>
      </c>
    </row>
    <row r="81" spans="2:12" x14ac:dyDescent="0.35">
      <c r="B81" s="2" t="s">
        <v>156</v>
      </c>
    </row>
    <row r="82" spans="2:12" x14ac:dyDescent="0.35">
      <c r="B82" t="s">
        <v>134</v>
      </c>
      <c r="C82" s="44">
        <f>IFERROR('cashflow data '!E14,0)</f>
        <v>-256</v>
      </c>
      <c r="D82" s="44">
        <f>IFERROR('cashflow data '!F14,0)</f>
        <v>-305</v>
      </c>
      <c r="E82" s="44">
        <f>IFERROR('cashflow data '!G14,0)</f>
        <v>-265</v>
      </c>
      <c r="F82" s="44">
        <f>IFERROR('cashflow data '!H14,0)</f>
        <v>-355</v>
      </c>
      <c r="G82" s="44">
        <f>IFERROR('cashflow data '!I14,0)</f>
        <v>-146</v>
      </c>
      <c r="H82" s="44">
        <f>IFERROR('cashflow data '!J14,0)</f>
        <v>-224</v>
      </c>
      <c r="I82" s="44">
        <f>IFERROR('cashflow data '!K14,0)</f>
        <v>-432</v>
      </c>
      <c r="J82" s="44">
        <f>IFERROR('cashflow data '!L14,0)</f>
        <v>-691</v>
      </c>
      <c r="K82" s="44">
        <f>IFERROR('cashflow data '!M14,0)</f>
        <v>-494</v>
      </c>
      <c r="L82" s="44">
        <f>IFERROR('cashflow data '!N14,0)</f>
        <v>-902</v>
      </c>
    </row>
    <row r="83" spans="2:12" x14ac:dyDescent="0.35">
      <c r="B83" t="s">
        <v>135</v>
      </c>
      <c r="C83" s="44">
        <f>IFERROR('cashflow data '!E15,0)</f>
        <v>5</v>
      </c>
      <c r="D83" s="44">
        <f>IFERROR('cashflow data '!F15,0)</f>
        <v>6</v>
      </c>
      <c r="E83" s="44">
        <f>IFERROR('cashflow data '!G15,0)</f>
        <v>1</v>
      </c>
      <c r="F83" s="44">
        <f>IFERROR('cashflow data '!H15,0)</f>
        <v>10</v>
      </c>
      <c r="G83" s="44">
        <f>IFERROR('cashflow data '!I15,0)</f>
        <v>7</v>
      </c>
      <c r="H83" s="44">
        <f>IFERROR('cashflow data '!J15,0)</f>
        <v>8</v>
      </c>
      <c r="I83" s="44">
        <f>IFERROR('cashflow data '!K15,0)</f>
        <v>12</v>
      </c>
      <c r="J83" s="44">
        <f>IFERROR('cashflow data '!L15,0)</f>
        <v>20</v>
      </c>
      <c r="K83" s="44">
        <f>IFERROR('cashflow data '!M15,0)</f>
        <v>24</v>
      </c>
      <c r="L83" s="44">
        <f>IFERROR('cashflow data '!N15,0)</f>
        <v>25</v>
      </c>
    </row>
    <row r="84" spans="2:12" x14ac:dyDescent="0.35">
      <c r="B84" t="s">
        <v>136</v>
      </c>
      <c r="C84" s="44">
        <f>IFERROR('cashflow data '!E16,0)</f>
        <v>-325</v>
      </c>
      <c r="D84" s="44">
        <f>IFERROR('cashflow data '!F16,0)</f>
        <v>0</v>
      </c>
      <c r="E84" s="44">
        <f>IFERROR('cashflow data '!G16,0)</f>
        <v>-36</v>
      </c>
      <c r="F84" s="44">
        <f>IFERROR('cashflow data '!H16,0)</f>
        <v>-13</v>
      </c>
      <c r="G84" s="44">
        <f>IFERROR('cashflow data '!I16,0)</f>
        <v>-2656</v>
      </c>
      <c r="H84" s="44">
        <f>IFERROR('cashflow data '!J16,0)</f>
        <v>-253</v>
      </c>
      <c r="I84" s="44">
        <f>IFERROR('cashflow data '!K16,0)</f>
        <v>-2104</v>
      </c>
      <c r="J84" s="44">
        <f>IFERROR('cashflow data '!L16,0)</f>
        <v>-21893</v>
      </c>
      <c r="K84" s="44">
        <f>IFERROR('cashflow data '!M16,0)</f>
        <v>-15342</v>
      </c>
      <c r="L84" s="44">
        <f>IFERROR('cashflow data '!N16,0)</f>
        <v>-21936</v>
      </c>
    </row>
    <row r="85" spans="2:12" x14ac:dyDescent="0.35">
      <c r="B85" t="s">
        <v>137</v>
      </c>
      <c r="C85" s="44">
        <f>IFERROR('cashflow data '!E17,0)</f>
        <v>0</v>
      </c>
      <c r="D85" s="44">
        <f>IFERROR('cashflow data '!F17,0)</f>
        <v>412</v>
      </c>
      <c r="E85" s="44">
        <f>IFERROR('cashflow data '!G17,0)</f>
        <v>18</v>
      </c>
      <c r="F85" s="44">
        <f>IFERROR('cashflow data '!H17,0)</f>
        <v>0</v>
      </c>
      <c r="G85" s="44">
        <f>IFERROR('cashflow data '!I17,0)</f>
        <v>43</v>
      </c>
      <c r="H85" s="44">
        <f>IFERROR('cashflow data '!J17,0)</f>
        <v>2870</v>
      </c>
      <c r="I85" s="44">
        <f>IFERROR('cashflow data '!K17,0)</f>
        <v>0</v>
      </c>
      <c r="J85" s="44">
        <f>IFERROR('cashflow data '!L17,0)</f>
        <v>22213</v>
      </c>
      <c r="K85" s="44">
        <f>IFERROR('cashflow data '!M17,0)</f>
        <v>15747</v>
      </c>
      <c r="L85" s="44">
        <f>IFERROR('cashflow data '!N17,0)</f>
        <v>20797</v>
      </c>
    </row>
    <row r="86" spans="2:12" x14ac:dyDescent="0.35">
      <c r="B86" t="s">
        <v>138</v>
      </c>
      <c r="C86" s="44">
        <f>IFERROR('cashflow data '!E18,0)</f>
        <v>41</v>
      </c>
      <c r="D86" s="44">
        <f>IFERROR('cashflow data '!F18,0)</f>
        <v>64</v>
      </c>
      <c r="E86" s="44">
        <f>IFERROR('cashflow data '!G18,0)</f>
        <v>85</v>
      </c>
      <c r="F86" s="44">
        <f>IFERROR('cashflow data '!H18,0)</f>
        <v>73</v>
      </c>
      <c r="G86" s="44">
        <f>IFERROR('cashflow data '!I18,0)</f>
        <v>49</v>
      </c>
      <c r="H86" s="44">
        <f>IFERROR('cashflow data '!J18,0)</f>
        <v>56</v>
      </c>
      <c r="I86" s="44">
        <f>IFERROR('cashflow data '!K18,0)</f>
        <v>143</v>
      </c>
      <c r="J86" s="44">
        <f>IFERROR('cashflow data '!L18,0)</f>
        <v>249</v>
      </c>
      <c r="K86" s="44">
        <f>IFERROR('cashflow data '!M18,0)</f>
        <v>288</v>
      </c>
      <c r="L86" s="44">
        <f>IFERROR('cashflow data '!N18,0)</f>
        <v>227</v>
      </c>
    </row>
    <row r="87" spans="2:12" x14ac:dyDescent="0.35">
      <c r="B87" t="s">
        <v>139</v>
      </c>
      <c r="C87" s="44">
        <f>IFERROR('cashflow data '!E19,0)</f>
        <v>0</v>
      </c>
      <c r="D87" s="44">
        <f>IFERROR('cashflow data '!F19,0)</f>
        <v>0</v>
      </c>
      <c r="E87" s="44">
        <f>IFERROR('cashflow data '!G19,0)</f>
        <v>0</v>
      </c>
      <c r="F87" s="44">
        <f>IFERROR('cashflow data '!H19,0)</f>
        <v>-39</v>
      </c>
      <c r="G87" s="44">
        <f>IFERROR('cashflow data '!I19,0)</f>
        <v>0</v>
      </c>
      <c r="H87" s="44">
        <f>IFERROR('cashflow data '!J19,0)</f>
        <v>0</v>
      </c>
      <c r="I87" s="44">
        <f>IFERROR('cashflow data '!K19,0)</f>
        <v>0</v>
      </c>
      <c r="J87" s="44">
        <f>IFERROR('cashflow data '!L19,0)</f>
        <v>0</v>
      </c>
      <c r="K87" s="44">
        <f>IFERROR('cashflow data '!M19,0)</f>
        <v>0</v>
      </c>
      <c r="L87" s="44">
        <f>IFERROR('cashflow data '!N19,0)</f>
        <v>0</v>
      </c>
    </row>
    <row r="88" spans="2:12" x14ac:dyDescent="0.35">
      <c r="B88" t="s">
        <v>140</v>
      </c>
      <c r="C88" s="44">
        <f>IFERROR('cashflow data '!E20,0)</f>
        <v>0</v>
      </c>
      <c r="D88" s="44">
        <f>IFERROR('cashflow data '!F20,0)</f>
        <v>0</v>
      </c>
      <c r="E88" s="44">
        <f>IFERROR('cashflow data '!G20,0)</f>
        <v>0</v>
      </c>
      <c r="F88" s="44">
        <f>IFERROR('cashflow data '!H20,0)</f>
        <v>0</v>
      </c>
      <c r="G88" s="44">
        <f>IFERROR('cashflow data '!I20,0)</f>
        <v>0</v>
      </c>
      <c r="H88" s="44">
        <f>IFERROR('cashflow data '!J20,0)</f>
        <v>0</v>
      </c>
      <c r="I88" s="44">
        <f>IFERROR('cashflow data '!K20,0)</f>
        <v>0</v>
      </c>
      <c r="J88" s="44">
        <f>IFERROR('cashflow data '!L20,0)</f>
        <v>0</v>
      </c>
      <c r="K88" s="44">
        <f>IFERROR('cashflow data '!M20,0)</f>
        <v>0</v>
      </c>
      <c r="L88" s="44">
        <f>IFERROR('cashflow data '!N20,0)</f>
        <v>0</v>
      </c>
    </row>
    <row r="89" spans="2:12" x14ac:dyDescent="0.35">
      <c r="B89" t="s">
        <v>141</v>
      </c>
      <c r="C89" s="44">
        <f>IFERROR('cashflow data '!E21,0)</f>
        <v>-385</v>
      </c>
      <c r="D89" s="44">
        <f>IFERROR('cashflow data '!F21,0)</f>
        <v>0</v>
      </c>
      <c r="E89" s="44">
        <f>IFERROR('cashflow data '!G21,0)</f>
        <v>0</v>
      </c>
      <c r="F89" s="44">
        <f>IFERROR('cashflow data '!H21,0)</f>
        <v>0</v>
      </c>
      <c r="G89" s="44">
        <f>IFERROR('cashflow data '!I21,0)</f>
        <v>0</v>
      </c>
      <c r="H89" s="44">
        <f>IFERROR('cashflow data '!J21,0)</f>
        <v>0</v>
      </c>
      <c r="I89" s="44">
        <f>IFERROR('cashflow data '!K21,0)</f>
        <v>0</v>
      </c>
      <c r="J89" s="44">
        <f>IFERROR('cashflow data '!L21,0)</f>
        <v>0</v>
      </c>
      <c r="K89" s="44">
        <f>IFERROR('cashflow data '!M21,0)</f>
        <v>0</v>
      </c>
      <c r="L89" s="44">
        <f>IFERROR('cashflow data '!N21,0)</f>
        <v>0</v>
      </c>
    </row>
    <row r="90" spans="2:12" x14ac:dyDescent="0.35">
      <c r="B90" t="s">
        <v>142</v>
      </c>
      <c r="C90" s="44">
        <f>IFERROR('cashflow data '!E22,0)</f>
        <v>5</v>
      </c>
      <c r="D90" s="44">
        <f>IFERROR('cashflow data '!F22,0)</f>
        <v>-35</v>
      </c>
      <c r="E90" s="44">
        <f>IFERROR('cashflow data '!G22,0)</f>
        <v>-115</v>
      </c>
      <c r="F90" s="44">
        <f>IFERROR('cashflow data '!H22,0)</f>
        <v>200</v>
      </c>
      <c r="G90" s="44">
        <f>IFERROR('cashflow data '!I22,0)</f>
        <v>-50</v>
      </c>
      <c r="H90" s="44">
        <f>IFERROR('cashflow data '!J22,0)</f>
        <v>-344</v>
      </c>
      <c r="I90" s="44">
        <f>IFERROR('cashflow data '!K22,0)</f>
        <v>294</v>
      </c>
      <c r="J90" s="44">
        <f>IFERROR('cashflow data '!L22,0)</f>
        <v>-143</v>
      </c>
      <c r="K90" s="44">
        <f>IFERROR('cashflow data '!M22,0)</f>
        <v>243</v>
      </c>
      <c r="L90" s="44">
        <f>IFERROR('cashflow data '!N22,0)</f>
        <v>0</v>
      </c>
    </row>
    <row r="91" spans="2:12" x14ac:dyDescent="0.35">
      <c r="B91" t="s">
        <v>143</v>
      </c>
      <c r="C91" s="44">
        <f>IFERROR('cashflow data '!E23,0)</f>
        <v>-38</v>
      </c>
      <c r="D91" s="44">
        <f>IFERROR('cashflow data '!F23,0)</f>
        <v>-43</v>
      </c>
      <c r="E91" s="44">
        <f>IFERROR('cashflow data '!G23,0)</f>
        <v>-485</v>
      </c>
      <c r="F91" s="44">
        <f>IFERROR('cashflow data '!H23,0)</f>
        <v>359</v>
      </c>
      <c r="G91" s="44">
        <f>IFERROR('cashflow data '!I23,0)</f>
        <v>-46</v>
      </c>
      <c r="H91" s="44">
        <f>IFERROR('cashflow data '!J23,0)</f>
        <v>-948</v>
      </c>
      <c r="I91" s="44">
        <f>IFERROR('cashflow data '!K23,0)</f>
        <v>273</v>
      </c>
      <c r="J91" s="44">
        <f>IFERROR('cashflow data '!L23,0)</f>
        <v>56</v>
      </c>
      <c r="K91" s="44">
        <f>IFERROR('cashflow data '!M23,0)</f>
        <v>80</v>
      </c>
      <c r="L91" s="44">
        <f>IFERROR('cashflow data '!N23,0)</f>
        <v>-1145</v>
      </c>
    </row>
    <row r="92" spans="2:12" s="2" customFormat="1" x14ac:dyDescent="0.35">
      <c r="B92" s="2" t="s">
        <v>157</v>
      </c>
      <c r="C92" s="45">
        <f>IFERROR('cashflow data '!E24,0)</f>
        <v>-166</v>
      </c>
      <c r="D92" s="45">
        <f>IFERROR('cashflow data '!F24,0)</f>
        <v>-252</v>
      </c>
      <c r="E92" s="45">
        <f>IFERROR('cashflow data '!G24,0)</f>
        <v>-489</v>
      </c>
      <c r="F92" s="45">
        <f>IFERROR('cashflow data '!H24,0)</f>
        <v>-242</v>
      </c>
      <c r="G92" s="45">
        <f>IFERROR('cashflow data '!I24,0)</f>
        <v>-1234</v>
      </c>
      <c r="H92" s="45">
        <f>IFERROR('cashflow data '!J24,0)</f>
        <v>-403</v>
      </c>
      <c r="I92" s="45">
        <f>IFERROR('cashflow data '!K24,0)</f>
        <v>457</v>
      </c>
      <c r="J92" s="45">
        <f>IFERROR('cashflow data '!L24,0)</f>
        <v>-1329</v>
      </c>
      <c r="K92" s="45">
        <f>IFERROR('cashflow data '!M24,0)</f>
        <v>-7</v>
      </c>
      <c r="L92" s="45">
        <f>IFERROR('cashflow data '!N24,0)</f>
        <v>-2159</v>
      </c>
    </row>
    <row r="94" spans="2:12" x14ac:dyDescent="0.35">
      <c r="B94" s="2" t="s">
        <v>158</v>
      </c>
    </row>
    <row r="95" spans="2:12" x14ac:dyDescent="0.35">
      <c r="B95" t="s">
        <v>144</v>
      </c>
      <c r="C95" s="44">
        <f>IFERROR('cashflow data '!E25,0)</f>
        <v>0</v>
      </c>
      <c r="D95" s="44">
        <f>IFERROR('cashflow data '!F25,0)</f>
        <v>0</v>
      </c>
      <c r="E95" s="44">
        <f>IFERROR('cashflow data '!G25,0)</f>
        <v>0</v>
      </c>
      <c r="F95" s="44">
        <f>IFERROR('cashflow data '!H25,0)</f>
        <v>693</v>
      </c>
      <c r="G95" s="44">
        <f>IFERROR('cashflow data '!I25,0)</f>
        <v>0</v>
      </c>
      <c r="H95" s="44">
        <f>IFERROR('cashflow data '!J25,0)</f>
        <v>349</v>
      </c>
      <c r="I95" s="44">
        <f>IFERROR('cashflow data '!K25,0)</f>
        <v>1684</v>
      </c>
      <c r="J95" s="44">
        <f>IFERROR('cashflow data '!L25,0)</f>
        <v>5629</v>
      </c>
      <c r="K95" s="44">
        <f>IFERROR('cashflow data '!M25,0)</f>
        <v>2599</v>
      </c>
      <c r="L95" s="44">
        <f>IFERROR('cashflow data '!N25,0)</f>
        <v>3314</v>
      </c>
    </row>
    <row r="96" spans="2:12" x14ac:dyDescent="0.35">
      <c r="B96" t="s">
        <v>145</v>
      </c>
      <c r="C96" s="44">
        <f>IFERROR('cashflow data '!E26,0)</f>
        <v>0</v>
      </c>
      <c r="D96" s="44">
        <f>IFERROR('cashflow data '!F26,0)</f>
        <v>0</v>
      </c>
      <c r="E96" s="44">
        <f>IFERROR('cashflow data '!G26,0)</f>
        <v>-39</v>
      </c>
      <c r="F96" s="44">
        <f>IFERROR('cashflow data '!H26,0)</f>
        <v>0</v>
      </c>
      <c r="G96" s="44">
        <f>IFERROR('cashflow data '!I26,0)</f>
        <v>-562</v>
      </c>
      <c r="H96" s="44">
        <f>IFERROR('cashflow data '!J26,0)</f>
        <v>-7</v>
      </c>
      <c r="I96" s="44">
        <f>IFERROR('cashflow data '!K26,0)</f>
        <v>-7</v>
      </c>
      <c r="J96" s="44">
        <f>IFERROR('cashflow data '!L26,0)</f>
        <v>0</v>
      </c>
      <c r="K96" s="44">
        <f>IFERROR('cashflow data '!M26,0)</f>
        <v>-378</v>
      </c>
      <c r="L96" s="44">
        <f>IFERROR('cashflow data '!N26,0)</f>
        <v>-2632</v>
      </c>
    </row>
    <row r="97" spans="2:12" x14ac:dyDescent="0.35">
      <c r="B97" t="s">
        <v>146</v>
      </c>
      <c r="C97" s="44">
        <f>IFERROR('cashflow data '!E27,0)</f>
        <v>-38</v>
      </c>
      <c r="D97" s="44">
        <f>IFERROR('cashflow data '!F27,0)</f>
        <v>-54</v>
      </c>
      <c r="E97" s="44">
        <f>IFERROR('cashflow data '!G27,0)</f>
        <v>-53</v>
      </c>
      <c r="F97" s="44">
        <f>IFERROR('cashflow data '!H27,0)</f>
        <v>-399</v>
      </c>
      <c r="G97" s="44">
        <f>IFERROR('cashflow data '!I27,0)</f>
        <v>-317</v>
      </c>
      <c r="H97" s="44">
        <f>IFERROR('cashflow data '!J27,0)</f>
        <v>-218</v>
      </c>
      <c r="I97" s="44">
        <f>IFERROR('cashflow data '!K27,0)</f>
        <v>-300</v>
      </c>
      <c r="J97" s="44">
        <f>IFERROR('cashflow data '!L27,0)</f>
        <v>-619</v>
      </c>
      <c r="K97" s="44">
        <f>IFERROR('cashflow data '!M27,0)</f>
        <v>-538</v>
      </c>
      <c r="L97" s="44">
        <f>IFERROR('cashflow data '!N27,0)</f>
        <v>-1000</v>
      </c>
    </row>
    <row r="98" spans="2:12" x14ac:dyDescent="0.35">
      <c r="B98" t="s">
        <v>147</v>
      </c>
      <c r="C98" s="44">
        <f>IFERROR('cashflow data '!E28,0)</f>
        <v>-4</v>
      </c>
      <c r="D98" s="44">
        <f>IFERROR('cashflow data '!F28,0)</f>
        <v>-277</v>
      </c>
      <c r="E98" s="44">
        <f>IFERROR('cashflow data '!G28,0)</f>
        <v>-397</v>
      </c>
      <c r="F98" s="44">
        <f>IFERROR('cashflow data '!H28,0)</f>
        <v>-536</v>
      </c>
      <c r="G98" s="44">
        <f>IFERROR('cashflow data '!I28,0)</f>
        <v>-355</v>
      </c>
      <c r="H98" s="44">
        <f>IFERROR('cashflow data '!J28,0)</f>
        <v>-355</v>
      </c>
      <c r="I98" s="44">
        <f>IFERROR('cashflow data '!K28,0)</f>
        <v>-666</v>
      </c>
      <c r="J98" s="44">
        <f>IFERROR('cashflow data '!L28,0)</f>
        <v>-888</v>
      </c>
      <c r="K98" s="44">
        <f>IFERROR('cashflow data '!M28,0)</f>
        <v>-976</v>
      </c>
      <c r="L98" s="44">
        <f>IFERROR('cashflow data '!N28,0)</f>
        <v>-976</v>
      </c>
    </row>
    <row r="99" spans="2:12" x14ac:dyDescent="0.35">
      <c r="B99" t="s">
        <v>148</v>
      </c>
      <c r="C99" s="44">
        <f>IFERROR('cashflow data '!E29,0)</f>
        <v>0</v>
      </c>
      <c r="D99" s="44">
        <f>IFERROR('cashflow data '!F29,0)</f>
        <v>0</v>
      </c>
      <c r="E99" s="44">
        <f>IFERROR('cashflow data '!G29,0)</f>
        <v>0</v>
      </c>
      <c r="F99" s="44">
        <f>IFERROR('cashflow data '!H29,0)</f>
        <v>0</v>
      </c>
      <c r="G99" s="44">
        <f>IFERROR('cashflow data '!I29,0)</f>
        <v>0</v>
      </c>
      <c r="H99" s="44">
        <f>IFERROR('cashflow data '!J29,0)</f>
        <v>-172</v>
      </c>
      <c r="I99" s="44">
        <f>IFERROR('cashflow data '!K29,0)</f>
        <v>-254</v>
      </c>
      <c r="J99" s="44">
        <f>IFERROR('cashflow data '!L29,0)</f>
        <v>-318</v>
      </c>
      <c r="K99" s="44">
        <f>IFERROR('cashflow data '!M29,0)</f>
        <v>-700</v>
      </c>
      <c r="L99" s="44">
        <f>IFERROR('cashflow data '!N29,0)</f>
        <v>-865</v>
      </c>
    </row>
    <row r="100" spans="2:12" x14ac:dyDescent="0.35">
      <c r="B100" t="s">
        <v>149</v>
      </c>
      <c r="C100" s="44">
        <f>IFERROR('cashflow data '!E30,0)</f>
        <v>-124</v>
      </c>
      <c r="D100" s="44">
        <f>IFERROR('cashflow data '!F30,0)</f>
        <v>79</v>
      </c>
      <c r="E100" s="44">
        <f>IFERROR('cashflow data '!G30,0)</f>
        <v>0</v>
      </c>
      <c r="F100" s="44">
        <f>IFERROR('cashflow data '!H30,0)</f>
        <v>0</v>
      </c>
      <c r="G100" s="44">
        <f>IFERROR('cashflow data '!I30,0)</f>
        <v>0</v>
      </c>
      <c r="H100" s="44">
        <f>IFERROR('cashflow data '!J30,0)</f>
        <v>0</v>
      </c>
      <c r="I100" s="44">
        <f>IFERROR('cashflow data '!K30,0)</f>
        <v>0</v>
      </c>
      <c r="J100" s="44">
        <f>IFERROR('cashflow data '!L30,0)</f>
        <v>-5133</v>
      </c>
      <c r="K100" s="44">
        <f>IFERROR('cashflow data '!M30,0)</f>
        <v>-14</v>
      </c>
      <c r="L100" s="44">
        <f>IFERROR('cashflow data '!N30,0)</f>
        <v>0</v>
      </c>
    </row>
    <row r="101" spans="2:12" s="2" customFormat="1" x14ac:dyDescent="0.35">
      <c r="B101" s="2" t="s">
        <v>159</v>
      </c>
      <c r="C101" s="45">
        <f t="shared" ref="C101:L101" si="23">SUM(C95:C100)</f>
        <v>-166</v>
      </c>
      <c r="D101" s="45">
        <f t="shared" si="23"/>
        <v>-252</v>
      </c>
      <c r="E101" s="45">
        <f t="shared" si="23"/>
        <v>-489</v>
      </c>
      <c r="F101" s="45">
        <f t="shared" si="23"/>
        <v>-242</v>
      </c>
      <c r="G101" s="45">
        <f t="shared" si="23"/>
        <v>-1234</v>
      </c>
      <c r="H101" s="45">
        <f t="shared" si="23"/>
        <v>-403</v>
      </c>
      <c r="I101" s="45">
        <f t="shared" si="23"/>
        <v>457</v>
      </c>
      <c r="J101" s="45">
        <f t="shared" si="23"/>
        <v>-1329</v>
      </c>
      <c r="K101" s="45">
        <f t="shared" si="23"/>
        <v>-7</v>
      </c>
      <c r="L101" s="45">
        <f t="shared" si="23"/>
        <v>-2159</v>
      </c>
    </row>
    <row r="103" spans="2:12" x14ac:dyDescent="0.35">
      <c r="B103" s="2" t="s">
        <v>35</v>
      </c>
      <c r="C103" s="45">
        <f>IFERROR(C79+C92+C101,0)</f>
        <v>4285</v>
      </c>
      <c r="D103" s="45">
        <f t="shared" ref="D103:L103" si="24">IFERROR(D79+D92+D101,0)</f>
        <v>-1386</v>
      </c>
      <c r="E103" s="45">
        <f t="shared" si="24"/>
        <v>1840</v>
      </c>
      <c r="F103" s="45">
        <f t="shared" si="24"/>
        <v>-2895</v>
      </c>
      <c r="G103" s="45">
        <f t="shared" si="24"/>
        <v>8702</v>
      </c>
      <c r="H103" s="45">
        <f t="shared" si="24"/>
        <v>-4672</v>
      </c>
      <c r="I103" s="45">
        <f t="shared" si="24"/>
        <v>2395</v>
      </c>
      <c r="J103" s="45">
        <f t="shared" si="24"/>
        <v>-631</v>
      </c>
      <c r="K103" s="45">
        <f t="shared" si="24"/>
        <v>-5233</v>
      </c>
      <c r="L103" s="45">
        <f t="shared" si="24"/>
        <v>7479</v>
      </c>
    </row>
  </sheetData>
  <mergeCells count="1">
    <mergeCell ref="B2:M2"/>
  </mergeCells>
  <pageMargins left="0.70866141732283472" right="0.70866141732283472" top="0.74803149606299213" bottom="0.74803149606299213" header="0.31496062992125984" footer="0.31496062992125984"/>
  <pageSetup pageOrder="overThenDown" orientation="portrait" r:id="rId1"/>
  <ignoredErrors>
    <ignoredError sqref="M6 C15 D15:L15 M9 M21 M24 M30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668F-A3C6-49B6-A7AF-BED02F7E0F0D}">
  <dimension ref="B2:O40"/>
  <sheetViews>
    <sheetView showGridLines="0" workbookViewId="0">
      <pane xSplit="1" ySplit="3" topLeftCell="B34" activePane="bottomRight" state="frozen"/>
      <selection pane="topRight" activeCell="B1" sqref="B1"/>
      <selection pane="bottomLeft" activeCell="A4" sqref="A4"/>
      <selection pane="bottomRight" activeCell="D6" sqref="D6"/>
    </sheetView>
  </sheetViews>
  <sheetFormatPr defaultRowHeight="14.5" x14ac:dyDescent="0.35"/>
  <cols>
    <col min="1" max="1" width="1.81640625" customWidth="1"/>
    <col min="2" max="2" width="26.08984375" customWidth="1"/>
    <col min="4" max="4" width="10.81640625" bestFit="1" customWidth="1"/>
    <col min="13" max="13" width="15.453125" customWidth="1"/>
    <col min="14" max="14" width="6.81640625" bestFit="1" customWidth="1"/>
    <col min="15" max="15" width="7.6328125" bestFit="1" customWidth="1"/>
  </cols>
  <sheetData>
    <row r="2" spans="2:15" x14ac:dyDescent="0.35">
      <c r="B2" s="70" t="str">
        <f>"Ratio Analysis- "&amp;'Data Sheet'!B1</f>
        <v>Ratio Analysis- TITAN COMPANY LTD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2:15" x14ac:dyDescent="0.35">
      <c r="B3" s="25" t="s">
        <v>93</v>
      </c>
      <c r="C3" s="26">
        <f>'Data Sheet'!B16</f>
        <v>42825</v>
      </c>
      <c r="D3" s="26">
        <f>'Data Sheet'!C16</f>
        <v>43190</v>
      </c>
      <c r="E3" s="26">
        <f>'Data Sheet'!D16</f>
        <v>43555</v>
      </c>
      <c r="F3" s="26">
        <f>'Data Sheet'!E16</f>
        <v>43921</v>
      </c>
      <c r="G3" s="26">
        <f>'Data Sheet'!F16</f>
        <v>44286</v>
      </c>
      <c r="H3" s="26">
        <f>'Data Sheet'!G16</f>
        <v>44651</v>
      </c>
      <c r="I3" s="26">
        <f>'Data Sheet'!H16</f>
        <v>45016</v>
      </c>
      <c r="J3" s="26">
        <f>'Data Sheet'!I16</f>
        <v>45382</v>
      </c>
      <c r="K3" s="26">
        <f>'Data Sheet'!J16</f>
        <v>45747</v>
      </c>
      <c r="L3" s="26">
        <f>'Data Sheet'!K16</f>
        <v>46112</v>
      </c>
      <c r="M3" s="61" t="s">
        <v>192</v>
      </c>
      <c r="N3" s="61" t="s">
        <v>190</v>
      </c>
      <c r="O3" s="61" t="s">
        <v>191</v>
      </c>
    </row>
    <row r="5" spans="2:15" x14ac:dyDescent="0.35">
      <c r="B5" s="48" t="s">
        <v>160</v>
      </c>
      <c r="C5" s="48"/>
      <c r="D5" s="49">
        <f>'Historical FS'!D7</f>
        <v>0.21559283996552248</v>
      </c>
      <c r="E5" s="49">
        <f>'Historical FS'!E7</f>
        <v>0.22697284142391605</v>
      </c>
      <c r="F5" s="49">
        <f>'Historical FS'!F7</f>
        <v>6.4387021880302431E-2</v>
      </c>
      <c r="G5" s="49">
        <f>'Historical FS'!G7</f>
        <v>2.8120843625308867E-2</v>
      </c>
      <c r="H5" s="49">
        <f>'Historical FS'!H7</f>
        <v>0.33057660321567184</v>
      </c>
      <c r="I5" s="49">
        <f>'Historical FS'!I7</f>
        <v>0.40890308691274013</v>
      </c>
      <c r="J5" s="49">
        <f>'Historical FS'!J7</f>
        <v>0.25900184842883545</v>
      </c>
      <c r="K5" s="49">
        <f>'Historical FS'!K7</f>
        <v>0.18346253229974163</v>
      </c>
      <c r="L5" s="49">
        <f>'Historical FS'!L7</f>
        <v>0.448723038242689</v>
      </c>
      <c r="M5" s="48"/>
      <c r="N5" s="52">
        <f>IFERROR(AVERAGE(D5:L5),0)</f>
        <v>0.24063785066608087</v>
      </c>
      <c r="O5" s="52">
        <f>IFERROR(MEDIAN(C5:L5),0)</f>
        <v>0.22697284142391605</v>
      </c>
    </row>
    <row r="6" spans="2:15" x14ac:dyDescent="0.35">
      <c r="B6" t="s">
        <v>161</v>
      </c>
      <c r="D6" s="5">
        <f>IFERROR('Historical FS'!D18/'Historical FS'!C18-1,0)</f>
        <v>0.41266431824040017</v>
      </c>
      <c r="E6" s="5">
        <f>IFERROR('Historical FS'!E18/'Historical FS'!D18-1,0)</f>
        <v>0.21262011920690882</v>
      </c>
      <c r="F6" s="5">
        <f>IFERROR('Historical FS'!F18/'Historical FS'!E18-1,0)</f>
        <v>0.23533571740253434</v>
      </c>
      <c r="G6" s="5">
        <f>IFERROR('Historical FS'!G18/'Historical FS'!F18-1,0)</f>
        <v>-0.29963459196102316</v>
      </c>
      <c r="H6" s="5">
        <f>IFERROR('Historical FS'!H18/'Historical FS'!G18-1,0)</f>
        <v>0.93855072463768119</v>
      </c>
      <c r="I6" s="5">
        <f>IFERROR('Historical FS'!I18/'Historical FS'!H18-1,0)</f>
        <v>0.45992822966507174</v>
      </c>
      <c r="J6" s="5">
        <f>IFERROR('Historical FS'!J18/'Historical FS'!I18-1,0)</f>
        <v>8.3981974600573439E-2</v>
      </c>
      <c r="K6" s="5">
        <f>IFERROR('Historical FS'!K18/'Historical FS'!J18-1,0)</f>
        <v>7.5963718820861725E-2</v>
      </c>
      <c r="L6" s="5">
        <f>IFERROR('Historical FS'!L18/'Historical FS'!K18-1,0)</f>
        <v>0.46733403582718647</v>
      </c>
      <c r="N6" s="53">
        <f t="shared" ref="N6:N8" si="0">IFERROR(AVERAGE(D6:L6),0)</f>
        <v>0.28741602738224387</v>
      </c>
      <c r="O6" s="53">
        <f t="shared" ref="O6:O9" si="1">IFERROR(MEDIAN(C6:L6),0)</f>
        <v>0.23533571740253434</v>
      </c>
    </row>
    <row r="7" spans="2:15" x14ac:dyDescent="0.35">
      <c r="B7" t="s">
        <v>166</v>
      </c>
      <c r="D7" s="5">
        <f>IFERROR('Historical FS'!D27/'Historical FS'!C27-1,0)</f>
        <v>0.437383692880283</v>
      </c>
      <c r="E7" s="5">
        <f>IFERROR('Historical FS'!E27/'Historical FS'!D27-1,0)</f>
        <v>0.21821420008904968</v>
      </c>
      <c r="F7" s="5">
        <f>IFERROR('Historical FS'!F27/'Historical FS'!E27-1,0)</f>
        <v>9.59227624675969E-2</v>
      </c>
      <c r="G7" s="5">
        <f>IFERROR('Historical FS'!G27/'Historical FS'!F27-1,0)</f>
        <v>-0.41149307337095942</v>
      </c>
      <c r="H7" s="5">
        <f>IFERROR('Historical FS'!H27/'Historical FS'!G27-1,0)</f>
        <v>1.3775065387968612</v>
      </c>
      <c r="I7" s="5">
        <f>IFERROR('Historical FS'!I27/'Historical FS'!H27-1,0)</f>
        <v>0.5185185185185186</v>
      </c>
      <c r="J7" s="5">
        <f>IFERROR('Historical FS'!J27/'Historical FS'!I27-1,0)</f>
        <v>-1.2557353296305251E-2</v>
      </c>
      <c r="K7" s="5">
        <f>IFERROR('Historical FS'!K27/'Historical FS'!J27-1,0)</f>
        <v>-1.0026901442895531E-2</v>
      </c>
      <c r="L7" s="5">
        <f>IFERROR('Historical FS'!L27/'Historical FS'!K27-1,0)</f>
        <v>0.56842885375494068</v>
      </c>
      <c r="N7" s="53">
        <f t="shared" si="0"/>
        <v>0.30909969315523217</v>
      </c>
      <c r="O7" s="53">
        <f t="shared" si="1"/>
        <v>0.21821420008904968</v>
      </c>
    </row>
    <row r="8" spans="2:15" x14ac:dyDescent="0.35">
      <c r="B8" t="s">
        <v>162</v>
      </c>
      <c r="D8" s="5">
        <f>IFERROR('Historical FS'!D33/'Historical FS'!C33-1,0)</f>
        <v>0.39520860936106028</v>
      </c>
      <c r="E8" s="5">
        <f>IFERROR('Historical FS'!E33/'Historical FS'!D33-1,0)</f>
        <v>0.17266807496269232</v>
      </c>
      <c r="F8" s="5">
        <f>IFERROR('Historical FS'!F33/'Historical FS'!E33-1,0)</f>
        <v>0.10728244792053943</v>
      </c>
      <c r="G8" s="5">
        <f>IFERROR('Historical FS'!G33/'Historical FS'!F33-1,0)</f>
        <v>-0.40746268656716422</v>
      </c>
      <c r="H8" s="5">
        <f>IFERROR('Historical FS'!H33/'Historical FS'!G33-1,0)</f>
        <v>1.5453400503778338</v>
      </c>
      <c r="I8" s="5">
        <f>IFERROR('Historical FS'!I33/'Historical FS'!H33-1,0)</f>
        <v>0.4685799109351807</v>
      </c>
      <c r="J8" s="5">
        <f>IFERROR('Historical FS'!J33/'Historical FS'!I33-1,0)</f>
        <v>-2.0215633423180668E-3</v>
      </c>
      <c r="K8" s="5">
        <f>IFERROR('Historical FS'!K33/'Historical FS'!J33-1,0)</f>
        <v>-3.7812288993922971E-2</v>
      </c>
      <c r="L8" s="5">
        <f>IFERROR('Historical FS'!L33/'Historical FS'!K33-1,0)</f>
        <v>0.62140350877192985</v>
      </c>
      <c r="N8" s="53">
        <f t="shared" si="0"/>
        <v>0.31813178482509236</v>
      </c>
      <c r="O8" s="53">
        <f t="shared" si="1"/>
        <v>0.17266807496269232</v>
      </c>
    </row>
    <row r="9" spans="2:15" x14ac:dyDescent="0.35">
      <c r="B9" s="50" t="s">
        <v>163</v>
      </c>
      <c r="C9" s="50"/>
      <c r="D9" s="51">
        <f>IFERROR('Historical FS'!D41/'Historical FS'!C41-1,0)</f>
        <v>0.44227353463587948</v>
      </c>
      <c r="E9" s="51">
        <f>IFERROR('Historical FS'!E41/'Historical FS'!D41-1,0)</f>
        <v>0.33335335816412348</v>
      </c>
      <c r="F9" s="51">
        <f>IFERROR('Historical FS'!F41/'Historical FS'!E41-1,0)</f>
        <v>-0.19801757152511834</v>
      </c>
      <c r="G9" s="51">
        <f>IFERROR('Historical FS'!G41/'Historical FS'!F41-1,0)</f>
        <v>0</v>
      </c>
      <c r="H9" s="51">
        <f>IFERROR('Historical FS'!H41/'Historical FS'!G41-1,0)</f>
        <v>0.87500000000000022</v>
      </c>
      <c r="I9" s="51">
        <f>IFERROR('Historical FS'!I41/'Historical FS'!H41-1,0)</f>
        <v>0.33333333333333348</v>
      </c>
      <c r="J9" s="51">
        <f>IFERROR('Historical FS'!J41/'Historical FS'!I41-1,0)</f>
        <v>0.10000000000000009</v>
      </c>
      <c r="K9" s="51">
        <f>IFERROR('Historical FS'!K41/'Historical FS'!J41-1,0)</f>
        <v>0</v>
      </c>
      <c r="L9" s="51">
        <f>IFERROR('Historical FS'!L41/'Historical FS'!K41-1,0)</f>
        <v>0.36363636363636354</v>
      </c>
      <c r="M9" s="50"/>
      <c r="N9" s="60">
        <f>IFERROR(AVERAGE(D9:L9),0)</f>
        <v>0.24995322424939795</v>
      </c>
      <c r="O9" s="60">
        <f t="shared" si="1"/>
        <v>0.33333333333333348</v>
      </c>
    </row>
    <row r="10" spans="2:15" x14ac:dyDescent="0.35">
      <c r="N10" s="40"/>
    </row>
    <row r="11" spans="2:15" x14ac:dyDescent="0.35">
      <c r="B11" s="48" t="s">
        <v>164</v>
      </c>
      <c r="C11" s="49">
        <f>IFERROR('Historical FS'!C13,0)</f>
        <v>0.20020013830205197</v>
      </c>
      <c r="D11" s="49">
        <f>IFERROR('Historical FS'!D13,0)</f>
        <v>0.20826227669501496</v>
      </c>
      <c r="E11" s="49">
        <f>IFERROR('Historical FS'!E13,0)</f>
        <v>0.20820769198099762</v>
      </c>
      <c r="F11" s="49">
        <f>IFERROR('Historical FS'!F13,0)</f>
        <v>0.21024130723921719</v>
      </c>
      <c r="G11" s="49">
        <f>IFERROR('Historical FS'!G13,0)</f>
        <v>0.18402328589909445</v>
      </c>
      <c r="H11" s="49">
        <f>IFERROR('Historical FS'!H13,0)</f>
        <v>0.19354838709677419</v>
      </c>
      <c r="I11" s="49">
        <f>IFERROR('Historical FS'!I13,0)</f>
        <v>0.20406654343807765</v>
      </c>
      <c r="J11" s="49">
        <f>IFERROR('Historical FS'!J13,0)</f>
        <v>0.18440216114634719</v>
      </c>
      <c r="K11" s="49">
        <f>IFERROR('Historical FS'!K13,0)</f>
        <v>0.17255524679105466</v>
      </c>
      <c r="L11" s="49">
        <f>IFERROR('Historical FS'!L13,0)</f>
        <v>0.16665144318597003</v>
      </c>
      <c r="M11" s="48"/>
      <c r="N11" s="52">
        <f>IFERROR(AVERAGE(C11:L11),0)</f>
        <v>0.19321584817746001</v>
      </c>
      <c r="O11" s="52">
        <f t="shared" ref="O11:O15" si="2">IFERROR(MEDIAN(C11:L11),0)</f>
        <v>0.19687426269941308</v>
      </c>
    </row>
    <row r="12" spans="2:15" x14ac:dyDescent="0.35">
      <c r="B12" t="s">
        <v>165</v>
      </c>
      <c r="C12" s="5">
        <f>IFERROR('Historical FS'!C19,0)</f>
        <v>8.7769770067182798E-2</v>
      </c>
      <c r="D12" s="5">
        <f>IFERROR('Historical FS'!D19,0)</f>
        <v>0.10199897393076955</v>
      </c>
      <c r="E12" s="5">
        <f>IFERROR('Historical FS'!E19,0)</f>
        <v>0.10080582369156038</v>
      </c>
      <c r="F12" s="5">
        <f>IFERROR('Historical FS'!F19,0)</f>
        <v>0.1169960098802964</v>
      </c>
      <c r="G12" s="5">
        <f>IFERROR('Historical FS'!G19,0)</f>
        <v>7.9698761781556091E-2</v>
      </c>
      <c r="H12" s="5">
        <f>IFERROR('Historical FS'!H19,0)</f>
        <v>0.11611514288690579</v>
      </c>
      <c r="I12" s="5">
        <f>IFERROR('Historical FS'!I19,0)</f>
        <v>0.12032039433148491</v>
      </c>
      <c r="J12" s="5">
        <f>IFERROR('Historical FS'!J19,0)</f>
        <v>0.10359408033826638</v>
      </c>
      <c r="K12" s="5">
        <f>IFERROR('Historical FS'!K19,0)</f>
        <v>9.4184200079396582E-2</v>
      </c>
      <c r="L12" s="5">
        <f>IFERROR('Historical FS'!L19,0)</f>
        <v>9.5394135915235656E-2</v>
      </c>
      <c r="N12" s="53">
        <f t="shared" ref="N12:N40" si="3">IFERROR(AVERAGE(C12:L12),0)</f>
        <v>0.10168772929026544</v>
      </c>
      <c r="O12" s="53">
        <f t="shared" si="2"/>
        <v>0.10140239881116497</v>
      </c>
    </row>
    <row r="13" spans="2:15" x14ac:dyDescent="0.35">
      <c r="B13" t="s">
        <v>188</v>
      </c>
      <c r="C13" s="5">
        <f>IFERROR(('Historical FS'!C18-'Historical FS'!C24)/'Historical FS'!C6,0)</f>
        <v>7.943469601827334E-2</v>
      </c>
      <c r="D13" s="5">
        <f>IFERROR(('Historical FS'!D18-'Historical FS'!D24)/'Historical FS'!D6,0)</f>
        <v>9.3845631792513234E-2</v>
      </c>
      <c r="E13" s="5">
        <f>IFERROR(('Historical FS'!E18-'Historical FS'!E24)/'Historical FS'!E6,0)</f>
        <v>9.2572649520793304E-2</v>
      </c>
      <c r="F13" s="5">
        <f>IFERROR(('Historical FS'!F18-'Historical FS'!F24)/'Historical FS'!F6,0)</f>
        <v>0.10046551396541896</v>
      </c>
      <c r="G13" s="5">
        <f>IFERROR(('Historical FS'!G18-'Historical FS'!G24)/'Historical FS'!G6,0)</f>
        <v>6.237294400295694E-2</v>
      </c>
      <c r="H13" s="5">
        <f>IFERROR(('Historical FS'!H18-'Historical FS'!H24)/'Historical FS'!H6,0)</f>
        <v>0.10226049515608181</v>
      </c>
      <c r="I13" s="5">
        <f>IFERROR(('Historical FS'!I18-'Historical FS'!I24)/'Historical FS'!I6,0)</f>
        <v>0.10945163277880468</v>
      </c>
      <c r="J13" s="5">
        <f>IFERROR(('Historical FS'!J18-'Historical FS'!J24)/'Historical FS'!J6,0)</f>
        <v>9.2161929371231702E-2</v>
      </c>
      <c r="K13" s="5">
        <f>IFERROR(('Historical FS'!K18-'Historical FS'!K24)/'Historical FS'!K6,0)</f>
        <v>8.2721317983326714E-2</v>
      </c>
      <c r="L13" s="5">
        <f>IFERROR(('Historical FS'!L18-'Historical FS'!L24)/'Historical FS'!L6,0)</f>
        <v>8.5963189623675551E-2</v>
      </c>
      <c r="N13" s="53">
        <f t="shared" si="3"/>
        <v>9.0125000021307619E-2</v>
      </c>
      <c r="O13" s="53">
        <f t="shared" si="2"/>
        <v>9.2367289446012496E-2</v>
      </c>
    </row>
    <row r="14" spans="2:15" x14ac:dyDescent="0.35">
      <c r="B14" t="s">
        <v>167</v>
      </c>
      <c r="C14" s="5">
        <f>IFERROR('Historical FS'!C28,0)</f>
        <v>7.6588720313886818E-2</v>
      </c>
      <c r="D14" s="5">
        <f>IFERROR('Historical FS'!D28,0)</f>
        <v>9.0562706539857651E-2</v>
      </c>
      <c r="E14" s="5">
        <f>IFERROR('Historical FS'!E28,0)</f>
        <v>8.9916232357122816E-2</v>
      </c>
      <c r="F14" s="5">
        <f>IFERROR('Historical FS'!F28,0)</f>
        <v>9.2580277408322253E-2</v>
      </c>
      <c r="G14" s="5">
        <f>IFERROR('Historical FS'!G28,0)</f>
        <v>5.2993901312141933E-2</v>
      </c>
      <c r="H14" s="5">
        <f>IFERROR('Historical FS'!H28,0)</f>
        <v>9.4690787874578977E-2</v>
      </c>
      <c r="I14" s="5">
        <f>IFERROR('Historical FS'!I28,0)</f>
        <v>0.10205791743684535</v>
      </c>
      <c r="J14" s="5">
        <f>IFERROR('Historical FS'!J28,0)</f>
        <v>8.0044632370213767E-2</v>
      </c>
      <c r="K14" s="5">
        <f>IFERROR('Historical FS'!K28,0)</f>
        <v>6.6957787481804948E-2</v>
      </c>
      <c r="L14" s="5">
        <f>IFERROR('Historical FS'!L28,0)</f>
        <v>7.2490409207161127E-2</v>
      </c>
      <c r="N14" s="53">
        <f t="shared" si="3"/>
        <v>8.188833723019355E-2</v>
      </c>
      <c r="O14" s="53">
        <f t="shared" si="2"/>
        <v>8.4980432363668285E-2</v>
      </c>
    </row>
    <row r="15" spans="2:15" x14ac:dyDescent="0.35">
      <c r="B15" s="50" t="s">
        <v>168</v>
      </c>
      <c r="C15" s="51">
        <f>IFERROR('Historical FS'!C34,0)</f>
        <v>5.57778057632893E-2</v>
      </c>
      <c r="D15" s="51">
        <f>IFERROR('Historical FS'!D34,0)</f>
        <v>6.4019523851767193E-2</v>
      </c>
      <c r="E15" s="51">
        <f>IFERROR('Historical FS'!E34,0)</f>
        <v>6.1186074590009805E-2</v>
      </c>
      <c r="F15" s="51">
        <f>IFERROR('Historical FS'!F34,0)</f>
        <v>6.3651909557286723E-2</v>
      </c>
      <c r="G15" s="51">
        <f>IFERROR('Historical FS'!G34,0)</f>
        <v>3.6684531509887264E-2</v>
      </c>
      <c r="H15" s="51">
        <f>IFERROR('Historical FS'!H34,0)</f>
        <v>7.0176047779436784E-2</v>
      </c>
      <c r="I15" s="51">
        <f>IFERROR('Historical FS'!I34,0)</f>
        <v>7.3148490449784345E-2</v>
      </c>
      <c r="J15" s="51">
        <f>IFERROR('Historical FS'!J34,0)</f>
        <v>5.7982930075953329E-2</v>
      </c>
      <c r="K15" s="51">
        <f>IFERROR('Historical FS'!K34,0)</f>
        <v>4.7141722905915048E-2</v>
      </c>
      <c r="L15" s="51">
        <f>IFERROR('Historical FS'!L34,0)</f>
        <v>5.2760778224333213E-2</v>
      </c>
      <c r="M15" s="50"/>
      <c r="N15" s="60">
        <f t="shared" si="3"/>
        <v>5.8252981470766296E-2</v>
      </c>
      <c r="O15" s="60">
        <f t="shared" si="2"/>
        <v>5.958450233298157E-2</v>
      </c>
    </row>
    <row r="16" spans="2:15" x14ac:dyDescent="0.35">
      <c r="N16" s="40"/>
    </row>
    <row r="17" spans="2:15" x14ac:dyDescent="0.35">
      <c r="B17" s="48" t="s">
        <v>169</v>
      </c>
      <c r="C17" s="49">
        <f>IFERROR('Historical FS'!C16,0)</f>
        <v>0.11243036823486917</v>
      </c>
      <c r="D17" s="49">
        <f>IFERROR('Historical FS'!D16,0)</f>
        <v>0.10626330276424539</v>
      </c>
      <c r="E17" s="49">
        <f>IFERROR('Historical FS'!E16,0)</f>
        <v>0.10740186828943722</v>
      </c>
      <c r="F17" s="49">
        <f>IFERROR('Historical FS'!F16,0)</f>
        <v>9.3245297358920773E-2</v>
      </c>
      <c r="G17" s="49">
        <f>IFERROR('Historical FS'!G16,0)</f>
        <v>0.10432452411753834</v>
      </c>
      <c r="H17" s="49">
        <f>IFERROR('Historical FS'!H16,0)</f>
        <v>7.7433244209868399E-2</v>
      </c>
      <c r="I17" s="49">
        <f>IFERROR('Historical FS'!I16,0)</f>
        <v>8.3746149106592727E-2</v>
      </c>
      <c r="J17" s="49">
        <f>IFERROR('Historical FS'!J16,0)</f>
        <v>8.0808080808080815E-2</v>
      </c>
      <c r="K17" s="49">
        <f>IFERROR('Historical FS'!K16,0)</f>
        <v>7.8371046711658066E-2</v>
      </c>
      <c r="L17" s="49">
        <f>IFERROR('Historical FS'!L16,0)</f>
        <v>7.1257307270734385E-2</v>
      </c>
      <c r="M17" s="48"/>
      <c r="N17" s="52">
        <f t="shared" si="3"/>
        <v>9.1528118887194532E-2</v>
      </c>
      <c r="O17" s="52">
        <f t="shared" ref="O17:O19" si="4">IFERROR(MEDIAN(C17:L17),0)</f>
        <v>8.8495723232756757E-2</v>
      </c>
    </row>
    <row r="18" spans="2:15" x14ac:dyDescent="0.35">
      <c r="B18" t="s">
        <v>170</v>
      </c>
      <c r="C18" s="5">
        <f>IFERROR('Historical FS'!C25,0)</f>
        <v>8.3350740489094577E-3</v>
      </c>
      <c r="D18" s="5">
        <f>IFERROR('Historical FS'!D25,0)</f>
        <v>8.1533421382563153E-3</v>
      </c>
      <c r="E18" s="5">
        <f>IFERROR('Historical FS'!E25,0)</f>
        <v>8.2331741707670752E-3</v>
      </c>
      <c r="F18" s="5">
        <f>IFERROR('Historical FS'!F25,0)</f>
        <v>1.6530495914877447E-2</v>
      </c>
      <c r="G18" s="5">
        <f>IFERROR('Historical FS'!G25,0)</f>
        <v>1.7325817778599151E-2</v>
      </c>
      <c r="H18" s="5">
        <f>IFERROR('Historical FS'!H25,0)</f>
        <v>1.3854647730823988E-2</v>
      </c>
      <c r="I18" s="5">
        <f>IFERROR('Historical FS'!I25,0)</f>
        <v>1.0868761552680222E-2</v>
      </c>
      <c r="J18" s="5">
        <f>IFERROR('Historical FS'!J25,0)</f>
        <v>1.1432150967034689E-2</v>
      </c>
      <c r="K18" s="5">
        <f>IFERROR('Historical FS'!K25,0)</f>
        <v>1.146288209606987E-2</v>
      </c>
      <c r="L18" s="5">
        <f>IFERROR('Historical FS'!L25,0)</f>
        <v>9.4309462915601015E-3</v>
      </c>
      <c r="N18" s="53">
        <f t="shared" si="3"/>
        <v>1.1562729268957832E-2</v>
      </c>
      <c r="O18" s="53">
        <f t="shared" si="4"/>
        <v>1.1150456259857455E-2</v>
      </c>
    </row>
    <row r="19" spans="2:15" x14ac:dyDescent="0.35">
      <c r="B19" s="50" t="s">
        <v>171</v>
      </c>
      <c r="C19" s="51">
        <f>C13</f>
        <v>7.943469601827334E-2</v>
      </c>
      <c r="D19" s="51">
        <f t="shared" ref="D19:L19" si="5">D13</f>
        <v>9.3845631792513234E-2</v>
      </c>
      <c r="E19" s="51">
        <f t="shared" si="5"/>
        <v>9.2572649520793304E-2</v>
      </c>
      <c r="F19" s="51">
        <f t="shared" si="5"/>
        <v>0.10046551396541896</v>
      </c>
      <c r="G19" s="51">
        <f t="shared" si="5"/>
        <v>6.237294400295694E-2</v>
      </c>
      <c r="H19" s="51">
        <f t="shared" si="5"/>
        <v>0.10226049515608181</v>
      </c>
      <c r="I19" s="51">
        <f t="shared" si="5"/>
        <v>0.10945163277880468</v>
      </c>
      <c r="J19" s="51">
        <f t="shared" si="5"/>
        <v>9.2161929371231702E-2</v>
      </c>
      <c r="K19" s="51">
        <f t="shared" si="5"/>
        <v>8.2721317983326714E-2</v>
      </c>
      <c r="L19" s="51">
        <f t="shared" si="5"/>
        <v>8.5963189623675551E-2</v>
      </c>
      <c r="M19" s="50"/>
      <c r="N19" s="60">
        <f t="shared" si="3"/>
        <v>9.0125000021307619E-2</v>
      </c>
      <c r="O19" s="60">
        <f t="shared" si="4"/>
        <v>9.2367289446012496E-2</v>
      </c>
    </row>
    <row r="20" spans="2:15" x14ac:dyDescent="0.35">
      <c r="N20" s="40"/>
    </row>
    <row r="21" spans="2:15" x14ac:dyDescent="0.35">
      <c r="B21" s="48" t="s">
        <v>172</v>
      </c>
      <c r="C21" s="52">
        <f>IFERROR(('Historical FS'!C18-'Historical FS'!C24)/(SUM('Historical FS'!C47:C49)),0)</f>
        <v>0.17226536883402749</v>
      </c>
      <c r="D21" s="52">
        <f>IFERROR(('Historical FS'!D18-'Historical FS'!D24)/(SUM('Historical FS'!D47:D49)),0)</f>
        <v>0.22309313379217197</v>
      </c>
      <c r="E21" s="52">
        <f>IFERROR(('Historical FS'!E18-'Historical FS'!E24)/(SUM('Historical FS'!E47:E49)),0)</f>
        <v>0.21634430760250653</v>
      </c>
      <c r="F21" s="52">
        <f>IFERROR(('Historical FS'!F18-'Historical FS'!F24)/(SUM('Historical FS'!F47:F49)),0)</f>
        <v>0.20672466034600723</v>
      </c>
      <c r="G21" s="52">
        <f>IFERROR(('Historical FS'!G18-'Historical FS'!G24)/(SUM('Historical FS'!G47:G49)),0)</f>
        <v>0.10277883517320137</v>
      </c>
      <c r="H21" s="52">
        <f>IFERROR(('Historical FS'!H18-'Historical FS'!H24)/(SUM('Historical FS'!H47:H49)),0)</f>
        <v>0.1776450717818796</v>
      </c>
      <c r="I21" s="52">
        <f>IFERROR(('Historical FS'!I18-'Historical FS'!I24)/(SUM('Historical FS'!I47:I49)),0)</f>
        <v>0.20930342162315016</v>
      </c>
      <c r="J21" s="52">
        <f>IFERROR(('Historical FS'!J18-'Historical FS'!J24)/(SUM('Historical FS'!J47:J49)),0)</f>
        <v>0.18891697764937201</v>
      </c>
      <c r="K21" s="52">
        <f>IFERROR(('Historical FS'!K18-'Historical FS'!K24)/(SUM('Historical FS'!K47:K49)),0)</f>
        <v>0.15434708805283787</v>
      </c>
      <c r="L21" s="52">
        <f>IFERROR(('Historical FS'!L18-'Historical FS'!L24)/(SUM('Historical FS'!L47:L49)),0)</f>
        <v>0.24885965492166326</v>
      </c>
      <c r="M21" s="48"/>
      <c r="N21" s="52">
        <f t="shared" si="3"/>
        <v>0.19002785197768177</v>
      </c>
      <c r="O21" s="52">
        <f t="shared" ref="O21:O25" si="6">IFERROR(MEDIAN(C21:L21),0)</f>
        <v>0.19782081899768961</v>
      </c>
    </row>
    <row r="22" spans="2:15" x14ac:dyDescent="0.35">
      <c r="B22" t="s">
        <v>173</v>
      </c>
      <c r="C22" s="53">
        <f>'Historical FS'!C44</f>
        <v>0.68792418138063416</v>
      </c>
      <c r="D22" s="53">
        <f>'Historical FS'!D44</f>
        <v>0.67739684877613948</v>
      </c>
      <c r="E22" s="53">
        <f>'Historical FS'!E44</f>
        <v>0.63319203087169595</v>
      </c>
      <c r="F22" s="53">
        <f>'Historical FS'!F44</f>
        <v>0.73432835820895526</v>
      </c>
      <c r="G22" s="53">
        <f>'Historical FS'!G44</f>
        <v>0.55163727959697728</v>
      </c>
      <c r="H22" s="53">
        <f>'Historical FS'!H44</f>
        <v>0.66971796140524498</v>
      </c>
      <c r="I22" s="53">
        <f>'Historical FS'!I44</f>
        <v>0.70013477088948783</v>
      </c>
      <c r="J22" s="53">
        <f>'Historical FS'!J44</f>
        <v>0.6694800810263335</v>
      </c>
      <c r="K22" s="53">
        <f>'Historical FS'!K44</f>
        <v>0.65649122807017546</v>
      </c>
      <c r="L22" s="53">
        <f>'Historical FS'!L44</f>
        <v>0.71110149318329374</v>
      </c>
      <c r="N22" s="53">
        <f t="shared" si="3"/>
        <v>0.66914042334089374</v>
      </c>
      <c r="O22" s="53">
        <f t="shared" si="6"/>
        <v>0.67355740509069228</v>
      </c>
    </row>
    <row r="23" spans="2:15" x14ac:dyDescent="0.35">
      <c r="B23" t="s">
        <v>174</v>
      </c>
      <c r="C23" s="53">
        <f>IFERROR('Historical FS'!C33/SUM('Historical FS'!C47:C48),0)</f>
        <v>0.17476219054054684</v>
      </c>
      <c r="D23" s="53">
        <f>IFERROR('Historical FS'!D33/SUM('Historical FS'!D47:D48),0)</f>
        <v>0.20275134187839425</v>
      </c>
      <c r="E23" s="53">
        <f>IFERROR('Historical FS'!E33/SUM('Historical FS'!E47:E48),0)</f>
        <v>0.19936410138134986</v>
      </c>
      <c r="F23" s="53">
        <f>IFERROR('Historical FS'!F33/SUM('Historical FS'!F47:F48),0)</f>
        <v>0.20092967461388514</v>
      </c>
      <c r="G23" s="53">
        <f>IFERROR('Historical FS'!G33/SUM('Historical FS'!G47:G48),0)</f>
        <v>0.10590903027877818</v>
      </c>
      <c r="H23" s="53">
        <f>IFERROR('Historical FS'!H33/SUM('Historical FS'!H47:H48),0)</f>
        <v>0.21724174997312695</v>
      </c>
      <c r="I23" s="53">
        <f>IFERROR('Historical FS'!I33/SUM('Historical FS'!I47:I48),0)</f>
        <v>0.25044300059066743</v>
      </c>
      <c r="J23" s="53">
        <f>IFERROR('Historical FS'!J33/SUM('Historical FS'!J47:J48),0)</f>
        <v>0.31534121154050887</v>
      </c>
      <c r="K23" s="53">
        <f>IFERROR('Historical FS'!K33/SUM('Historical FS'!K47:K48),0)</f>
        <v>0.24518238128011011</v>
      </c>
      <c r="L23" s="53">
        <f>IFERROR('Historical FS'!L33/SUM('Historical FS'!L47:L48),0)</f>
        <v>0.29427497930331786</v>
      </c>
      <c r="N23" s="53">
        <f t="shared" si="3"/>
        <v>0.22061996613806856</v>
      </c>
      <c r="O23" s="53">
        <f t="shared" si="6"/>
        <v>0.20999654592576061</v>
      </c>
    </row>
    <row r="24" spans="2:15" x14ac:dyDescent="0.35">
      <c r="B24" t="s">
        <v>175</v>
      </c>
      <c r="C24" s="53">
        <f>IFERROR(C22*C23,0)</f>
        <v>0.12022313686389209</v>
      </c>
      <c r="D24" s="53">
        <f t="shared" ref="D24:L24" si="7">IFERROR(D22*D23,0)</f>
        <v>0.13734312007355798</v>
      </c>
      <c r="E24" s="53">
        <f t="shared" si="7"/>
        <v>0.1262357602365676</v>
      </c>
      <c r="F24" s="53">
        <f t="shared" si="7"/>
        <v>0.14754835807467387</v>
      </c>
      <c r="G24" s="53">
        <f t="shared" si="7"/>
        <v>5.842336934773909E-2</v>
      </c>
      <c r="H24" s="53">
        <f t="shared" si="7"/>
        <v>0.14549070192411051</v>
      </c>
      <c r="I24" s="53">
        <f t="shared" si="7"/>
        <v>0.1753438528394228</v>
      </c>
      <c r="J24" s="53">
        <f t="shared" si="7"/>
        <v>0.21111465985308206</v>
      </c>
      <c r="K24" s="53">
        <f t="shared" si="7"/>
        <v>0.16096008258774949</v>
      </c>
      <c r="L24" s="53">
        <f t="shared" si="7"/>
        <v>0.2092593771890722</v>
      </c>
      <c r="N24" s="53">
        <f t="shared" si="3"/>
        <v>0.14919424189898675</v>
      </c>
      <c r="O24" s="53">
        <f t="shared" si="6"/>
        <v>0.14651952999939219</v>
      </c>
    </row>
    <row r="25" spans="2:15" x14ac:dyDescent="0.35">
      <c r="B25" s="50" t="s">
        <v>176</v>
      </c>
      <c r="C25" s="54">
        <f>IFERROR(('Historical FS'!C18-'Historical FS'!C24)/('Historical FS'!C21),0)</f>
        <v>27.91123476417593</v>
      </c>
      <c r="D25" s="54">
        <f>IFERROR(('Historical FS'!D18-'Historical FS'!D24)/('Historical FS'!D21),0)</f>
        <v>28.585978835978857</v>
      </c>
      <c r="E25" s="54">
        <f>IFERROR(('Historical FS'!E18-'Historical FS'!E24)/('Historical FS'!E21),0)</f>
        <v>34.848686714883918</v>
      </c>
      <c r="F25" s="54">
        <f>IFERROR(('Historical FS'!F18-'Historical FS'!F24)/('Historical FS'!F21),0)</f>
        <v>12.740963855421686</v>
      </c>
      <c r="G25" s="54">
        <f>IFERROR(('Historical FS'!G18-'Historical FS'!G24)/('Historical FS'!G21),0)</f>
        <v>6.6502463054187189</v>
      </c>
      <c r="H25" s="54">
        <f>IFERROR(('Historical FS'!H18-'Historical FS'!H24)/('Historical FS'!H21),0)</f>
        <v>13.509174311926605</v>
      </c>
      <c r="I25" s="54">
        <f>IFERROR(('Historical FS'!I18-'Historical FS'!I24)/('Historical FS'!I21),0)</f>
        <v>14.803333333333333</v>
      </c>
      <c r="J25" s="54">
        <f>IFERROR(('Historical FS'!J18-'Historical FS'!J24)/('Historical FS'!J21),0)</f>
        <v>7.6058158319870763</v>
      </c>
      <c r="K25" s="54">
        <f>IFERROR(('Historical FS'!K18-'Historical FS'!K24)/('Historical FS'!K21),0)</f>
        <v>5.2476390346274924</v>
      </c>
      <c r="L25" s="54">
        <f>IFERROR(('Historical FS'!L18-'Historical FS'!L24)/('Historical FS'!L21),0)</f>
        <v>6.3805084745762715</v>
      </c>
      <c r="M25" s="50"/>
      <c r="N25" s="54">
        <f t="shared" si="3"/>
        <v>15.82835814623299</v>
      </c>
      <c r="O25" s="54">
        <f t="shared" si="6"/>
        <v>13.125069083674145</v>
      </c>
    </row>
    <row r="26" spans="2:15" x14ac:dyDescent="0.35">
      <c r="N26" s="40"/>
    </row>
    <row r="27" spans="2:15" x14ac:dyDescent="0.35">
      <c r="B27" s="48" t="s">
        <v>177</v>
      </c>
      <c r="C27" s="55">
        <f>IFERROR('Historical FS'!C6/'Historical FS'!C59,0)</f>
        <v>63.876830443159925</v>
      </c>
      <c r="D27" s="55">
        <f>IFERROR('Historical FS'!D6/'Historical FS'!D59,0)</f>
        <v>54.515776657986407</v>
      </c>
      <c r="E27" s="55">
        <f>IFERROR('Historical FS'!E6/'Historical FS'!E59,0)</f>
        <v>47.041312879058154</v>
      </c>
      <c r="F27" s="55">
        <f>IFERROR('Historical FS'!F6/'Historical FS'!F59,0)</f>
        <v>67.474358974358978</v>
      </c>
      <c r="G27" s="55">
        <f>IFERROR('Historical FS'!G6/'Historical FS'!G59,0)</f>
        <v>59.136612021857921</v>
      </c>
      <c r="H27" s="55">
        <f>IFERROR('Historical FS'!H6/'Historical FS'!H59,0)</f>
        <v>50.971681415929204</v>
      </c>
      <c r="I27" s="55">
        <f>IFERROR('Historical FS'!I6/'Historical FS'!I59,0)</f>
        <v>60.200296735905042</v>
      </c>
      <c r="J27" s="55">
        <f>IFERROR('Historical FS'!J6/'Historical FS'!J59,0)</f>
        <v>50.180746561886053</v>
      </c>
      <c r="K27" s="55">
        <f>IFERROR('Historical FS'!K6/'Historical FS'!K59,0)</f>
        <v>56.606741573033709</v>
      </c>
      <c r="L27" s="55">
        <f>IFERROR('Historical FS'!L6/'Historical FS'!L59,0)</f>
        <v>95.615720524017462</v>
      </c>
      <c r="M27" s="48"/>
      <c r="N27" s="55">
        <f t="shared" si="3"/>
        <v>60.562007778719284</v>
      </c>
      <c r="O27" s="55">
        <f t="shared" ref="O27:O31" si="8">IFERROR(MEDIAN(C27:L27),0)</f>
        <v>57.871676797445815</v>
      </c>
    </row>
    <row r="28" spans="2:15" x14ac:dyDescent="0.35">
      <c r="B28" t="s">
        <v>178</v>
      </c>
      <c r="C28" s="56">
        <f>IFERROR('Historical FS'!C6/'Historical FS'!C50,0)</f>
        <v>5.7837846089429332</v>
      </c>
      <c r="D28" s="56">
        <f>IFERROR('Historical FS'!D6/'Historical FS'!D50,0)</f>
        <v>5.8828056858201192</v>
      </c>
      <c r="E28" s="56">
        <f>IFERROR('Historical FS'!E6/'Historical FS'!E50,0)</f>
        <v>6.0918653036458448</v>
      </c>
      <c r="F28" s="56">
        <f>IFERROR('Historical FS'!F6/'Historical FS'!F50,0)</f>
        <v>6.3543616057953516</v>
      </c>
      <c r="G28" s="56">
        <f>IFERROR('Historical FS'!G6/'Historical FS'!G50,0)</f>
        <v>6.540948927168329</v>
      </c>
      <c r="H28" s="56">
        <f>IFERROR('Historical FS'!H6/'Historical FS'!H50,0)</f>
        <v>6.2470715835141002</v>
      </c>
      <c r="I28" s="56">
        <f>IFERROR('Historical FS'!I6/'Historical FS'!I50,0)</f>
        <v>6.9932781799379526</v>
      </c>
      <c r="J28" s="56">
        <f>IFERROR('Historical FS'!J6/'Historical FS'!J50,0)</f>
        <v>7.7096287352852402</v>
      </c>
      <c r="K28" s="56">
        <f>IFERROR('Historical FS'!K6/'Historical FS'!K50,0)</f>
        <v>7.333333333333333</v>
      </c>
      <c r="L28" s="56">
        <f>IFERROR('Historical FS'!L6/'Historical FS'!L50,0)</f>
        <v>2.8898934239614609</v>
      </c>
      <c r="N28" s="56">
        <f t="shared" si="3"/>
        <v>6.1826971387404672</v>
      </c>
      <c r="O28" s="56">
        <f t="shared" si="8"/>
        <v>6.3007165946547259</v>
      </c>
    </row>
    <row r="29" spans="2:15" x14ac:dyDescent="0.35">
      <c r="B29" t="s">
        <v>179</v>
      </c>
      <c r="C29" s="56">
        <f>IFERROR('Historical FS'!C6/'Historical FS'!C60,0)</f>
        <v>2.6921498089627143</v>
      </c>
      <c r="D29" s="56">
        <f>IFERROR('Historical FS'!D6/'Historical FS'!D60,0)</f>
        <v>2.7207097575630734</v>
      </c>
      <c r="E29" s="56">
        <f>IFERROR('Historical FS'!E6/'Historical FS'!E60,0)</f>
        <v>2.8099198445193942</v>
      </c>
      <c r="F29" s="56">
        <f>IFERROR('Historical FS'!F6/'Historical FS'!F60,0)</f>
        <v>2.59805010489942</v>
      </c>
      <c r="G29" s="56">
        <f>IFERROR('Historical FS'!G6/'Historical FS'!G60,0)</f>
        <v>2.5742150333016176</v>
      </c>
      <c r="H29" s="56">
        <f>IFERROR('Historical FS'!H6/'Historical FS'!H60,0)</f>
        <v>2.1161731207289294</v>
      </c>
      <c r="I29" s="56">
        <f>IFERROR('Historical FS'!I6/'Historical FS'!I60,0)</f>
        <v>2.4466353111432708</v>
      </c>
      <c r="J29" s="56">
        <f>IFERROR('Historical FS'!J6/'Historical FS'!J60,0)</f>
        <v>2.6814340454569314</v>
      </c>
      <c r="K29" s="56">
        <f>IFERROR('Historical FS'!K6/'Historical FS'!K60,0)</f>
        <v>2.1450468350837353</v>
      </c>
      <c r="L29" s="56">
        <f>IFERROR('Historical FS'!L6/'Historical FS'!L60,0)</f>
        <v>2.0490840605479259</v>
      </c>
      <c r="N29" s="56">
        <f t="shared" si="3"/>
        <v>2.4833417922207013</v>
      </c>
      <c r="O29" s="56">
        <f t="shared" si="8"/>
        <v>2.5861325691005188</v>
      </c>
    </row>
    <row r="30" spans="2:15" x14ac:dyDescent="0.35">
      <c r="B30" t="s">
        <v>180</v>
      </c>
      <c r="C30" s="56">
        <f>IFERROR('Historical FS'!C6/'Historical FS'!C53,0)</f>
        <v>11.155553873073558</v>
      </c>
      <c r="D30" s="56">
        <f>IFERROR('Historical FS'!D6/'Historical FS'!D53,0)</f>
        <v>10.93748176494935</v>
      </c>
      <c r="E30" s="56">
        <f>IFERROR('Historical FS'!E6/'Historical FS'!E53,0)</f>
        <v>12.624882710020872</v>
      </c>
      <c r="F30" s="56">
        <f>IFERROR('Historical FS'!F6/'Historical FS'!F53,0)</f>
        <v>7.995442461071022</v>
      </c>
      <c r="G30" s="56">
        <f>IFERROR('Historical FS'!G6/'Historical FS'!G53,0)</f>
        <v>8.5786761791518042</v>
      </c>
      <c r="H30" s="56">
        <f>IFERROR('Historical FS'!H6/'Historical FS'!H53,0)</f>
        <v>11.320361635220126</v>
      </c>
      <c r="I30" s="56">
        <f>IFERROR('Historical FS'!I6/'Historical FS'!I53,0)</f>
        <v>13.534022681787858</v>
      </c>
      <c r="J30" s="56">
        <f>IFERROR('Historical FS'!J6/'Historical FS'!J53,0)</f>
        <v>13.772984631976273</v>
      </c>
      <c r="K30" s="56">
        <f>IFERROR('Historical FS'!K6/'Historical FS'!K53,0)</f>
        <v>14.883308714918758</v>
      </c>
      <c r="L30" s="56">
        <f>IFERROR('Historical FS'!L6/'Historical FS'!L53,0)</f>
        <v>12.682305241818709</v>
      </c>
      <c r="N30" s="56">
        <f t="shared" si="3"/>
        <v>11.748501989398832</v>
      </c>
      <c r="O30" s="56">
        <f t="shared" si="8"/>
        <v>11.972622172620499</v>
      </c>
    </row>
    <row r="31" spans="2:15" x14ac:dyDescent="0.35">
      <c r="B31" s="50" t="s">
        <v>181</v>
      </c>
      <c r="C31" s="54">
        <f>IFERROR('Historical FS'!C6/SUM('Historical FS'!C47:C48),0)</f>
        <v>3.1331851109777475</v>
      </c>
      <c r="D31" s="54">
        <f>IFERROR('Historical FS'!D6/SUM('Historical FS'!D47:D48),0)</f>
        <v>3.1670235840530623</v>
      </c>
      <c r="E31" s="54">
        <f>IFERROR('Historical FS'!E6/SUM('Historical FS'!E47:E48),0)</f>
        <v>3.2583247530950636</v>
      </c>
      <c r="F31" s="54">
        <f>IFERROR('Historical FS'!F6/SUM('Historical FS'!F47:F48),0)</f>
        <v>3.1566951566951569</v>
      </c>
      <c r="G31" s="54">
        <f>IFERROR('Historical FS'!G6/SUM('Historical FS'!G47:G48),0)</f>
        <v>2.8870214752567693</v>
      </c>
      <c r="H31" s="54">
        <f>IFERROR('Historical FS'!H6/SUM('Historical FS'!H47:H48),0)</f>
        <v>3.0956680640653551</v>
      </c>
      <c r="I31" s="54">
        <f>IFERROR('Historical FS'!I6/SUM('Historical FS'!I47:I48),0)</f>
        <v>3.4237617078727531</v>
      </c>
      <c r="J31" s="54">
        <f>IFERROR('Historical FS'!J6/SUM('Historical FS'!J47:J48),0)</f>
        <v>5.4385180453529225</v>
      </c>
      <c r="K31" s="54">
        <f>IFERROR('Historical FS'!K6/SUM('Historical FS'!K47:K48),0)</f>
        <v>5.2009635237439777</v>
      </c>
      <c r="L31" s="54">
        <f>IFERROR('Historical FS'!L6/SUM('Historical FS'!L47:L48),0)</f>
        <v>5.5775329554862125</v>
      </c>
      <c r="M31" s="50"/>
      <c r="N31" s="54">
        <f t="shared" si="3"/>
        <v>3.8338694376599021</v>
      </c>
      <c r="O31" s="54">
        <f t="shared" si="8"/>
        <v>3.212674168574063</v>
      </c>
    </row>
    <row r="32" spans="2:15" x14ac:dyDescent="0.35">
      <c r="N32" s="40"/>
    </row>
    <row r="33" spans="2:15" x14ac:dyDescent="0.35">
      <c r="B33" s="48" t="s">
        <v>182</v>
      </c>
      <c r="C33" s="57">
        <f>IFERROR(365/C27,0)</f>
        <v>5.714121966724556</v>
      </c>
      <c r="D33" s="57">
        <f t="shared" ref="D33:L33" si="9">IFERROR(365/D27,0)</f>
        <v>6.6953095484612994</v>
      </c>
      <c r="E33" s="57">
        <f t="shared" si="9"/>
        <v>7.7591371851887798</v>
      </c>
      <c r="F33" s="57">
        <f t="shared" si="9"/>
        <v>5.4094622838685158</v>
      </c>
      <c r="G33" s="57">
        <f t="shared" si="9"/>
        <v>6.172149325448161</v>
      </c>
      <c r="H33" s="57">
        <f t="shared" si="9"/>
        <v>7.160838918017987</v>
      </c>
      <c r="I33" s="57">
        <f t="shared" si="9"/>
        <v>6.0630930375847196</v>
      </c>
      <c r="J33" s="57">
        <f t="shared" si="9"/>
        <v>7.2737060527758199</v>
      </c>
      <c r="K33" s="57">
        <f t="shared" si="9"/>
        <v>6.4479952362048429</v>
      </c>
      <c r="L33" s="57">
        <f t="shared" si="9"/>
        <v>3.8173639020825725</v>
      </c>
      <c r="M33" s="48"/>
      <c r="N33" s="57">
        <f t="shared" si="3"/>
        <v>6.2513177456357258</v>
      </c>
      <c r="O33" s="57">
        <f t="shared" ref="O33:O36" si="10">IFERROR(MEDIAN(C33:L33),0)</f>
        <v>6.3100722808265015</v>
      </c>
    </row>
    <row r="34" spans="2:15" x14ac:dyDescent="0.35">
      <c r="B34" t="s">
        <v>183</v>
      </c>
      <c r="C34" s="58">
        <f>IFERROR(365/C28,0)</f>
        <v>63.107467632116546</v>
      </c>
      <c r="D34" s="58">
        <f t="shared" ref="D34:L34" si="11">IFERROR(365/D28,0)</f>
        <v>62.045224590673442</v>
      </c>
      <c r="E34" s="58">
        <f t="shared" si="11"/>
        <v>59.91596691764601</v>
      </c>
      <c r="F34" s="58">
        <f t="shared" si="11"/>
        <v>57.440860725821778</v>
      </c>
      <c r="G34" s="58">
        <f t="shared" si="11"/>
        <v>55.802300868600994</v>
      </c>
      <c r="H34" s="58">
        <f t="shared" si="11"/>
        <v>58.427375950553838</v>
      </c>
      <c r="I34" s="58">
        <f t="shared" si="11"/>
        <v>52.192975970425138</v>
      </c>
      <c r="J34" s="58">
        <f t="shared" si="11"/>
        <v>47.3433951922324</v>
      </c>
      <c r="K34" s="58">
        <f t="shared" si="11"/>
        <v>49.772727272727273</v>
      </c>
      <c r="L34" s="58">
        <f t="shared" si="11"/>
        <v>126.3022355681403</v>
      </c>
      <c r="N34" s="58">
        <f t="shared" si="3"/>
        <v>63.235053068893762</v>
      </c>
      <c r="O34" s="58">
        <f t="shared" si="10"/>
        <v>57.934118338187808</v>
      </c>
    </row>
    <row r="35" spans="2:15" x14ac:dyDescent="0.35">
      <c r="B35" t="s">
        <v>184</v>
      </c>
      <c r="C35" s="58">
        <f>IFERROR(365/C29,0)</f>
        <v>135.57937926962339</v>
      </c>
      <c r="D35" s="58">
        <f t="shared" ref="D35:L35" si="12">IFERROR(365/D29,0)</f>
        <v>134.15616972202457</v>
      </c>
      <c r="E35" s="58">
        <f t="shared" si="12"/>
        <v>129.89694375514446</v>
      </c>
      <c r="F35" s="58">
        <f t="shared" si="12"/>
        <v>140.48997719931597</v>
      </c>
      <c r="G35" s="58">
        <f t="shared" si="12"/>
        <v>141.79079652559599</v>
      </c>
      <c r="H35" s="58">
        <f t="shared" si="12"/>
        <v>172.48116254036597</v>
      </c>
      <c r="I35" s="58">
        <f t="shared" si="12"/>
        <v>149.18447319778187</v>
      </c>
      <c r="J35" s="58">
        <f t="shared" si="12"/>
        <v>136.12119254561114</v>
      </c>
      <c r="K35" s="58">
        <f t="shared" si="12"/>
        <v>170.15945481010985</v>
      </c>
      <c r="L35" s="58">
        <f t="shared" si="12"/>
        <v>178.12836819510414</v>
      </c>
      <c r="N35" s="58">
        <f t="shared" si="3"/>
        <v>148.79879177606773</v>
      </c>
      <c r="O35" s="58">
        <f t="shared" si="10"/>
        <v>141.14038686245598</v>
      </c>
    </row>
    <row r="36" spans="2:15" x14ac:dyDescent="0.35">
      <c r="B36" s="50" t="s">
        <v>189</v>
      </c>
      <c r="C36" s="59">
        <f>IFERROR(SUM(C33,C35)-C34,0)</f>
        <v>78.186033604231397</v>
      </c>
      <c r="D36" s="59">
        <f t="shared" ref="D36:L36" si="13">IFERROR(SUM(D33,D35)-D34,0)</f>
        <v>78.806254679812426</v>
      </c>
      <c r="E36" s="59">
        <f t="shared" si="13"/>
        <v>77.740114022687237</v>
      </c>
      <c r="F36" s="59">
        <f t="shared" si="13"/>
        <v>88.458578757362716</v>
      </c>
      <c r="G36" s="59">
        <f t="shared" si="13"/>
        <v>92.160644982443173</v>
      </c>
      <c r="H36" s="59">
        <f t="shared" si="13"/>
        <v>121.21462550783012</v>
      </c>
      <c r="I36" s="59">
        <f t="shared" si="13"/>
        <v>103.05459026494144</v>
      </c>
      <c r="J36" s="59">
        <f t="shared" si="13"/>
        <v>96.051503406154552</v>
      </c>
      <c r="K36" s="59">
        <f t="shared" si="13"/>
        <v>126.8347227735874</v>
      </c>
      <c r="L36" s="59">
        <f t="shared" si="13"/>
        <v>55.643496529046416</v>
      </c>
      <c r="M36" s="50"/>
      <c r="N36" s="59">
        <f t="shared" si="3"/>
        <v>91.815056452809671</v>
      </c>
      <c r="O36" s="59">
        <f t="shared" si="10"/>
        <v>90.309611869902938</v>
      </c>
    </row>
    <row r="37" spans="2:15" x14ac:dyDescent="0.35">
      <c r="N37" s="40"/>
    </row>
    <row r="38" spans="2:15" x14ac:dyDescent="0.35">
      <c r="B38" s="48" t="s">
        <v>185</v>
      </c>
      <c r="C38" s="52">
        <f>IFERROR('Historical FS'!C79/'Historical FS'!C6,0)</f>
        <v>0.34816825191183359</v>
      </c>
      <c r="D38" s="52">
        <f>IFERROR('Historical FS'!D79/'Historical FS'!D6,0)</f>
        <v>-5.4715420877593166E-2</v>
      </c>
      <c r="E38" s="52">
        <f>IFERROR('Historical FS'!E79/'Historical FS'!E6,0)</f>
        <v>0.14247779914776232</v>
      </c>
      <c r="F38" s="52">
        <f>IFERROR('Historical FS'!F79/'Historical FS'!F6,0)</f>
        <v>-0.11452593577807334</v>
      </c>
      <c r="G38" s="52">
        <f>IFERROR('Historical FS'!G79/'Historical FS'!G6,0)</f>
        <v>0.51607835889854003</v>
      </c>
      <c r="H38" s="52">
        <f>IFERROR('Historical FS'!H79/'Historical FS'!H6,0)</f>
        <v>-0.13424077224903644</v>
      </c>
      <c r="I38" s="52">
        <f>IFERROR('Historical FS'!I79/'Historical FS'!I6,0)</f>
        <v>3.650030807147258E-2</v>
      </c>
      <c r="J38" s="52">
        <f>IFERROR('Historical FS'!J79/'Historical FS'!J6,0)</f>
        <v>3.9679743168115261E-2</v>
      </c>
      <c r="K38" s="52">
        <f>IFERROR('Historical FS'!K79/'Historical FS'!K6,0)</f>
        <v>-8.6327246261744081E-2</v>
      </c>
      <c r="L38" s="52">
        <f>IFERROR('Historical FS'!L79/'Historical FS'!L6,0)</f>
        <v>0.13469355133357691</v>
      </c>
      <c r="M38" s="48"/>
      <c r="N38" s="52">
        <f t="shared" si="3"/>
        <v>8.2778863736485381E-2</v>
      </c>
      <c r="O38" s="52"/>
    </row>
    <row r="39" spans="2:15" x14ac:dyDescent="0.35">
      <c r="B39" t="s">
        <v>186</v>
      </c>
      <c r="C39" s="53">
        <f>IFERROR('Historical FS'!C79/'Historical FS'!C64,0)</f>
        <v>0.54914797022207373</v>
      </c>
      <c r="D39" s="53">
        <f>IFERROR('Historical FS'!D79/'Historical FS'!D64,0)</f>
        <v>-9.2636938821809373E-2</v>
      </c>
      <c r="E39" s="53">
        <f>IFERROR('Historical FS'!E79/'Historical FS'!E64,0)</f>
        <v>0.24065230609470326</v>
      </c>
      <c r="F39" s="53">
        <f>IFERROR('Historical FS'!F79/'Historical FS'!F64,0)</f>
        <v>-0.1780124040165387</v>
      </c>
      <c r="G39" s="53">
        <f>IFERROR('Historical FS'!G79/'Historical FS'!G64,0)</f>
        <v>0.67927511554366338</v>
      </c>
      <c r="H39" s="53">
        <f>IFERROR('Historical FS'!H79/'Historical FS'!H64,0)</f>
        <v>-0.1824617708136681</v>
      </c>
      <c r="I39" s="53">
        <f>IFERROR('Historical FS'!I79/'Historical FS'!I64,0)</f>
        <v>5.4811250925240564E-2</v>
      </c>
      <c r="J39" s="53">
        <f>IFERROR('Historical FS'!J79/'Historical FS'!J64,0)</f>
        <v>6.4253336291881957E-2</v>
      </c>
      <c r="K39" s="53">
        <f>IFERROR('Historical FS'!K79/'Historical FS'!K64,0)</f>
        <v>-0.12840447779554681</v>
      </c>
      <c r="L39" s="53">
        <f>IFERROR('Historical FS'!L79/'Historical FS'!L64,0)</f>
        <v>0.19479533032809895</v>
      </c>
      <c r="N39" s="53">
        <f t="shared" si="3"/>
        <v>0.12014197179580988</v>
      </c>
      <c r="O39" s="53"/>
    </row>
    <row r="40" spans="2:15" x14ac:dyDescent="0.35">
      <c r="B40" s="50" t="s">
        <v>187</v>
      </c>
      <c r="C40" s="60">
        <f>IFERROR('Historical FS'!C79/'Historical FS'!C49,0)</f>
        <v>2.4526808433779741</v>
      </c>
      <c r="D40" s="60">
        <f>IFERROR('Historical FS'!D79/'Historical FS'!D49,0)</f>
        <v>-0.52158177657139815</v>
      </c>
      <c r="E40" s="60">
        <f>IFERROR('Historical FS'!E79/'Historical FS'!E49,0)</f>
        <v>1.1776111793663131</v>
      </c>
      <c r="F40" s="60">
        <f>IFERROR('Historical FS'!F79/'Historical FS'!F49,0)</f>
        <v>-0.67686692869174625</v>
      </c>
      <c r="G40" s="60">
        <f>IFERROR('Historical FS'!G79/'Historical FS'!G49,0)</f>
        <v>1.9811990067399787</v>
      </c>
      <c r="H40" s="60">
        <f>IFERROR('Historical FS'!H79/'Historical FS'!H49,0)</f>
        <v>-0.53140893470790374</v>
      </c>
      <c r="I40" s="60">
        <f>IFERROR('Historical FS'!I79/'Historical FS'!I49,0)</f>
        <v>0.1581082523753603</v>
      </c>
      <c r="J40" s="60">
        <f>IFERROR('Historical FS'!J79/'Historical FS'!J49,0)</f>
        <v>0.13053838227717671</v>
      </c>
      <c r="K40" s="60">
        <f>IFERROR('Historical FS'!K79/'Historical FS'!K49,0)</f>
        <v>-0.25119122106175096</v>
      </c>
      <c r="L40" s="60">
        <f>IFERROR('Historical FS'!L79/'Historical FS'!L49,0)</f>
        <v>0.81073465741186168</v>
      </c>
      <c r="M40" s="50"/>
      <c r="N40" s="60">
        <f t="shared" si="3"/>
        <v>0.47298234605158651</v>
      </c>
      <c r="O40" s="60"/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D518A1B-3786-4191-982A-8398FD3C757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xr2:uid="{A6CBDF8C-841D-4FEB-8BDA-FCB21C9407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C0F3-AE15-4EE5-93DC-7791CDA414DF}">
  <dimension ref="B2:O20"/>
  <sheetViews>
    <sheetView showGridLines="0" workbookViewId="0">
      <selection activeCell="G24" sqref="G24"/>
    </sheetView>
  </sheetViews>
  <sheetFormatPr defaultRowHeight="14.5" x14ac:dyDescent="0.35"/>
  <cols>
    <col min="1" max="1" width="1.81640625" customWidth="1"/>
    <col min="2" max="2" width="11.08984375" bestFit="1" customWidth="1"/>
    <col min="3" max="3" width="9.54296875" bestFit="1" customWidth="1"/>
    <col min="4" max="4" width="10.453125" customWidth="1"/>
    <col min="5" max="5" width="13.7265625" customWidth="1"/>
    <col min="6" max="6" width="2.6328125" customWidth="1"/>
    <col min="7" max="7" width="11.08984375" bestFit="1" customWidth="1"/>
    <col min="8" max="8" width="7.90625" customWidth="1"/>
    <col min="9" max="9" width="12.453125" customWidth="1"/>
    <col min="10" max="10" width="15.81640625" customWidth="1"/>
    <col min="11" max="11" width="2.6328125" customWidth="1"/>
    <col min="12" max="12" width="13.6328125" customWidth="1"/>
    <col min="14" max="14" width="11.36328125" customWidth="1"/>
    <col min="15" max="15" width="14.1796875" customWidth="1"/>
  </cols>
  <sheetData>
    <row r="2" spans="2:15" x14ac:dyDescent="0.35">
      <c r="B2" s="71" t="str">
        <f>'Data Sheet'!B1&amp;" - "&amp;'Data Sheet'!A17&amp;" Forecasting "</f>
        <v xml:space="preserve">TITAN COMPANY LTD - Sales Forecasting </v>
      </c>
      <c r="C2" s="71"/>
      <c r="D2" s="71"/>
      <c r="E2" s="71"/>
      <c r="G2" s="71" t="str">
        <f>'Data Sheet'!B1&amp;" - "&amp;'Historical FS'!B18&amp;" Forecasting "</f>
        <v xml:space="preserve">TITAN COMPANY LTD - EBITDA  Forecasting </v>
      </c>
      <c r="H2" s="71"/>
      <c r="I2" s="71"/>
      <c r="J2" s="71"/>
      <c r="L2" s="71" t="str">
        <f>'Data Sheet'!B1&amp;" - "&amp;'Historical FS'!B38&amp;" Forecasting "</f>
        <v xml:space="preserve">TITAN COMPANY LTD - Earning Per Share Forecasting </v>
      </c>
      <c r="M2" s="71"/>
      <c r="N2" s="71"/>
      <c r="O2" s="71"/>
    </row>
    <row r="3" spans="2:15" x14ac:dyDescent="0.35">
      <c r="B3" s="62" t="s">
        <v>193</v>
      </c>
      <c r="C3" s="63" t="s">
        <v>194</v>
      </c>
      <c r="D3" s="63" t="s">
        <v>6</v>
      </c>
      <c r="E3" s="63" t="s">
        <v>195</v>
      </c>
      <c r="G3" s="62" t="s">
        <v>193</v>
      </c>
      <c r="H3" s="63" t="s">
        <v>194</v>
      </c>
      <c r="I3" s="63" t="s">
        <v>196</v>
      </c>
      <c r="J3" s="63" t="s">
        <v>161</v>
      </c>
      <c r="L3" s="62" t="s">
        <v>193</v>
      </c>
      <c r="M3" s="63" t="s">
        <v>194</v>
      </c>
      <c r="N3" s="63" t="s">
        <v>57</v>
      </c>
      <c r="O3" s="63" t="s">
        <v>197</v>
      </c>
    </row>
    <row r="4" spans="2:15" x14ac:dyDescent="0.35">
      <c r="B4" s="20">
        <v>1</v>
      </c>
      <c r="C4" s="64">
        <f>'Data Sheet'!$B$16</f>
        <v>42825</v>
      </c>
      <c r="D4" s="38">
        <f t="array" ref="D4:D13">TRANSPOSE('Data Sheet'!B17:K17)</f>
        <v>13260.83</v>
      </c>
      <c r="G4" s="20">
        <v>1</v>
      </c>
      <c r="H4" s="64">
        <f>'Data Sheet'!$B$16</f>
        <v>42825</v>
      </c>
      <c r="I4" s="38">
        <f t="array" ref="I4:I13">TRANSPOSE('Historical FS'!C18:M18)</f>
        <v>1163.8999999999996</v>
      </c>
      <c r="L4" s="20">
        <v>1</v>
      </c>
      <c r="M4" s="64">
        <f>'Data Sheet'!$B$16</f>
        <v>42825</v>
      </c>
      <c r="N4" s="38">
        <f t="array" ref="N4:N13">TRANSPOSE('Historical FS'!C38:M38)</f>
        <v>8.3313809416535207</v>
      </c>
    </row>
    <row r="5" spans="2:15" x14ac:dyDescent="0.35">
      <c r="B5" s="20">
        <f>B4+1</f>
        <v>2</v>
      </c>
      <c r="C5" s="64">
        <f>C4+365</f>
        <v>43190</v>
      </c>
      <c r="D5" s="38">
        <v>16119.77</v>
      </c>
      <c r="E5" s="40">
        <f>D5/D4-1</f>
        <v>0.21559283996552248</v>
      </c>
      <c r="G5" s="20">
        <f>G4+1</f>
        <v>2</v>
      </c>
      <c r="H5" s="64">
        <f>H4+365</f>
        <v>43190</v>
      </c>
      <c r="I5" s="38">
        <v>1644.2000000000012</v>
      </c>
      <c r="J5" s="40">
        <f>I5/I4-1</f>
        <v>0.41266431824040017</v>
      </c>
      <c r="L5" s="20">
        <f>L4+1</f>
        <v>2</v>
      </c>
      <c r="M5" s="64">
        <f>M4+365</f>
        <v>43190</v>
      </c>
      <c r="N5" s="38">
        <v>11.624014417661652</v>
      </c>
      <c r="O5" s="40">
        <f>N5/N4-1</f>
        <v>0.3952086093610605</v>
      </c>
    </row>
    <row r="6" spans="2:15" x14ac:dyDescent="0.35">
      <c r="B6" s="20">
        <f t="shared" ref="B6:B18" si="0">B5+1</f>
        <v>3</v>
      </c>
      <c r="C6" s="64">
        <f t="shared" ref="C6:C18" si="1">C5+365</f>
        <v>43555</v>
      </c>
      <c r="D6" s="38">
        <v>19778.52</v>
      </c>
      <c r="E6" s="40">
        <f t="shared" ref="E6:E18" si="2">D6/D5-1</f>
        <v>0.22697284142391605</v>
      </c>
      <c r="G6" s="20">
        <f t="shared" ref="G6:G18" si="3">G5+1</f>
        <v>3</v>
      </c>
      <c r="H6" s="64">
        <f t="shared" ref="H6:H18" si="4">H5+365</f>
        <v>43555</v>
      </c>
      <c r="I6" s="38">
        <v>1993.7900000000009</v>
      </c>
      <c r="J6" s="40">
        <f t="shared" ref="J6:J18" si="5">I6/I5-1</f>
        <v>0.21262011920690882</v>
      </c>
      <c r="L6" s="20">
        <f t="shared" ref="L6:L18" si="6">L5+1</f>
        <v>3</v>
      </c>
      <c r="M6" s="64">
        <f t="shared" ref="M6:M18" si="7">M5+365</f>
        <v>43555</v>
      </c>
      <c r="N6" s="38">
        <v>13.631110610497869</v>
      </c>
      <c r="O6" s="40">
        <f t="shared" ref="O6:O18" si="8">N6/N5-1</f>
        <v>0.1726680749626921</v>
      </c>
    </row>
    <row r="7" spans="2:15" x14ac:dyDescent="0.35">
      <c r="B7" s="20">
        <f t="shared" si="0"/>
        <v>4</v>
      </c>
      <c r="C7" s="64">
        <f t="shared" si="1"/>
        <v>43920</v>
      </c>
      <c r="D7" s="38">
        <v>21052</v>
      </c>
      <c r="E7" s="40">
        <f t="shared" si="2"/>
        <v>6.4387021880302431E-2</v>
      </c>
      <c r="G7" s="20">
        <f t="shared" si="3"/>
        <v>4</v>
      </c>
      <c r="H7" s="64">
        <f t="shared" si="4"/>
        <v>43920</v>
      </c>
      <c r="I7" s="38">
        <v>2463</v>
      </c>
      <c r="J7" s="40">
        <f t="shared" si="5"/>
        <v>0.23533571740253434</v>
      </c>
      <c r="L7" s="20">
        <f t="shared" si="6"/>
        <v>4</v>
      </c>
      <c r="M7" s="64">
        <f t="shared" si="7"/>
        <v>43920</v>
      </c>
      <c r="N7" s="38">
        <v>15.093489524667717</v>
      </c>
      <c r="O7" s="40">
        <f t="shared" si="8"/>
        <v>0.1072824479205392</v>
      </c>
    </row>
    <row r="8" spans="2:15" x14ac:dyDescent="0.35">
      <c r="B8" s="20">
        <f t="shared" si="0"/>
        <v>5</v>
      </c>
      <c r="C8" s="64">
        <f t="shared" si="1"/>
        <v>44285</v>
      </c>
      <c r="D8" s="38">
        <v>21644</v>
      </c>
      <c r="E8" s="40">
        <f t="shared" si="2"/>
        <v>2.8120843625308867E-2</v>
      </c>
      <c r="G8" s="20">
        <f t="shared" si="3"/>
        <v>5</v>
      </c>
      <c r="H8" s="64">
        <f t="shared" si="4"/>
        <v>44285</v>
      </c>
      <c r="I8" s="38">
        <v>1725</v>
      </c>
      <c r="J8" s="40">
        <f t="shared" si="5"/>
        <v>-0.29963459196102316</v>
      </c>
      <c r="L8" s="20">
        <f t="shared" si="6"/>
        <v>5</v>
      </c>
      <c r="M8" s="64">
        <f t="shared" si="7"/>
        <v>44285</v>
      </c>
      <c r="N8" s="38">
        <v>8.9434557332732592</v>
      </c>
      <c r="O8" s="40">
        <f t="shared" si="8"/>
        <v>-0.40746268656716422</v>
      </c>
    </row>
    <row r="9" spans="2:15" x14ac:dyDescent="0.35">
      <c r="B9" s="20">
        <f t="shared" si="0"/>
        <v>6</v>
      </c>
      <c r="C9" s="64">
        <f t="shared" si="1"/>
        <v>44650</v>
      </c>
      <c r="D9" s="38">
        <v>28799</v>
      </c>
      <c r="E9" s="40">
        <f t="shared" si="2"/>
        <v>0.33057660321567184</v>
      </c>
      <c r="G9" s="20">
        <f t="shared" si="3"/>
        <v>6</v>
      </c>
      <c r="H9" s="64">
        <f t="shared" si="4"/>
        <v>44650</v>
      </c>
      <c r="I9" s="38">
        <v>3344</v>
      </c>
      <c r="J9" s="40">
        <f t="shared" si="5"/>
        <v>0.93855072463768119</v>
      </c>
      <c r="L9" s="20">
        <f t="shared" si="6"/>
        <v>6</v>
      </c>
      <c r="M9" s="64">
        <f t="shared" si="7"/>
        <v>44650</v>
      </c>
      <c r="N9" s="38">
        <v>22.764136066681687</v>
      </c>
      <c r="O9" s="40">
        <f t="shared" si="8"/>
        <v>1.5453400503778343</v>
      </c>
    </row>
    <row r="10" spans="2:15" x14ac:dyDescent="0.35">
      <c r="B10" s="20">
        <f t="shared" si="0"/>
        <v>7</v>
      </c>
      <c r="C10" s="64">
        <f t="shared" si="1"/>
        <v>45015</v>
      </c>
      <c r="D10" s="38">
        <v>40575</v>
      </c>
      <c r="E10" s="40">
        <f t="shared" si="2"/>
        <v>0.40890308691274013</v>
      </c>
      <c r="G10" s="20">
        <f t="shared" si="3"/>
        <v>7</v>
      </c>
      <c r="H10" s="64">
        <f t="shared" si="4"/>
        <v>45015</v>
      </c>
      <c r="I10" s="38">
        <v>4882</v>
      </c>
      <c r="J10" s="40">
        <f t="shared" si="5"/>
        <v>0.45992822966507174</v>
      </c>
      <c r="L10" s="20">
        <f t="shared" si="6"/>
        <v>7</v>
      </c>
      <c r="M10" s="64">
        <f t="shared" si="7"/>
        <v>45015</v>
      </c>
      <c r="N10" s="38">
        <v>33.430952917323722</v>
      </c>
      <c r="O10" s="40">
        <f t="shared" si="8"/>
        <v>0.46857991093518048</v>
      </c>
    </row>
    <row r="11" spans="2:15" x14ac:dyDescent="0.35">
      <c r="B11" s="20">
        <f t="shared" si="0"/>
        <v>8</v>
      </c>
      <c r="C11" s="64">
        <f t="shared" si="1"/>
        <v>45380</v>
      </c>
      <c r="D11" s="38">
        <v>51084</v>
      </c>
      <c r="E11" s="40">
        <f t="shared" si="2"/>
        <v>0.25900184842883545</v>
      </c>
      <c r="G11" s="20">
        <f t="shared" si="3"/>
        <v>8</v>
      </c>
      <c r="H11" s="64">
        <f t="shared" si="4"/>
        <v>45380</v>
      </c>
      <c r="I11" s="38">
        <v>5292</v>
      </c>
      <c r="J11" s="40">
        <f t="shared" si="5"/>
        <v>8.3981974600573439E-2</v>
      </c>
      <c r="L11" s="20">
        <f t="shared" si="6"/>
        <v>8</v>
      </c>
      <c r="M11" s="64">
        <f t="shared" si="7"/>
        <v>45380</v>
      </c>
      <c r="N11" s="38">
        <v>33.363370128407297</v>
      </c>
      <c r="O11" s="40">
        <f t="shared" si="8"/>
        <v>-2.0215633423181778E-3</v>
      </c>
    </row>
    <row r="12" spans="2:15" x14ac:dyDescent="0.35">
      <c r="B12" s="20">
        <f t="shared" si="0"/>
        <v>9</v>
      </c>
      <c r="C12" s="64">
        <f t="shared" si="1"/>
        <v>45745</v>
      </c>
      <c r="D12" s="38">
        <v>60456</v>
      </c>
      <c r="E12" s="40">
        <f t="shared" si="2"/>
        <v>0.18346253229974163</v>
      </c>
      <c r="G12" s="20">
        <f t="shared" si="3"/>
        <v>9</v>
      </c>
      <c r="H12" s="64">
        <f t="shared" si="4"/>
        <v>45745</v>
      </c>
      <c r="I12" s="38">
        <v>5694</v>
      </c>
      <c r="J12" s="40">
        <f t="shared" si="5"/>
        <v>7.5963718820861725E-2</v>
      </c>
      <c r="L12" s="20">
        <f t="shared" si="6"/>
        <v>9</v>
      </c>
      <c r="M12" s="64">
        <f t="shared" si="7"/>
        <v>45745</v>
      </c>
      <c r="N12" s="38">
        <v>32.101824735300745</v>
      </c>
      <c r="O12" s="40">
        <f t="shared" si="8"/>
        <v>-3.781228899392286E-2</v>
      </c>
    </row>
    <row r="13" spans="2:15" x14ac:dyDescent="0.35">
      <c r="B13" s="20">
        <f t="shared" si="0"/>
        <v>10</v>
      </c>
      <c r="C13" s="64">
        <f t="shared" si="1"/>
        <v>46110</v>
      </c>
      <c r="D13" s="38">
        <v>87584</v>
      </c>
      <c r="E13" s="40">
        <f t="shared" si="2"/>
        <v>0.448723038242689</v>
      </c>
      <c r="G13" s="20">
        <f t="shared" si="3"/>
        <v>10</v>
      </c>
      <c r="H13" s="64">
        <f t="shared" si="4"/>
        <v>46110</v>
      </c>
      <c r="I13" s="38">
        <v>8355</v>
      </c>
      <c r="J13" s="40">
        <f t="shared" si="5"/>
        <v>0.46733403582718647</v>
      </c>
      <c r="L13" s="20">
        <f t="shared" si="6"/>
        <v>10</v>
      </c>
      <c r="M13" s="64">
        <f t="shared" si="7"/>
        <v>46110</v>
      </c>
      <c r="N13" s="38">
        <v>52.050011263798154</v>
      </c>
      <c r="O13" s="40">
        <f t="shared" si="8"/>
        <v>0.62140350877192985</v>
      </c>
    </row>
    <row r="14" spans="2:15" x14ac:dyDescent="0.35">
      <c r="B14" s="66">
        <f t="shared" si="0"/>
        <v>11</v>
      </c>
      <c r="C14" s="67">
        <f t="shared" si="1"/>
        <v>46475</v>
      </c>
      <c r="D14" s="68">
        <f>FORECAST(B14,$D$4:$D$13,$B$4:$B$13)</f>
        <v>76085.763333333336</v>
      </c>
      <c r="E14" s="69">
        <f t="shared" si="2"/>
        <v>-0.13128238795518199</v>
      </c>
      <c r="G14" s="66">
        <f t="shared" si="3"/>
        <v>11</v>
      </c>
      <c r="H14" s="67">
        <f t="shared" si="4"/>
        <v>46475</v>
      </c>
      <c r="I14" s="68">
        <f>FORECAST(G14,$I$4:$I$13,$G$4:$G$13)</f>
        <v>7603.5406666666659</v>
      </c>
      <c r="J14" s="69">
        <f t="shared" si="5"/>
        <v>-8.9941272691003493E-2</v>
      </c>
      <c r="L14" s="66">
        <f t="shared" si="6"/>
        <v>11</v>
      </c>
      <c r="M14" s="67">
        <f t="shared" si="7"/>
        <v>46475</v>
      </c>
      <c r="N14" s="68">
        <f>FORECAST(L14,$N$4:$N$13,$L$4:$L$13)</f>
        <v>46.610265074716523</v>
      </c>
      <c r="O14" s="69">
        <f t="shared" si="8"/>
        <v>-0.10450999062252053</v>
      </c>
    </row>
    <row r="15" spans="2:15" x14ac:dyDescent="0.35">
      <c r="B15" s="66">
        <f t="shared" si="0"/>
        <v>12</v>
      </c>
      <c r="C15" s="67">
        <f t="shared" si="1"/>
        <v>46840</v>
      </c>
      <c r="D15" s="68">
        <f t="shared" ref="D15:D18" si="9">FORECAST(B15,$D$4:$D$13,$B$4:$B$13)</f>
        <v>83367.663575757586</v>
      </c>
      <c r="E15" s="69">
        <f t="shared" si="2"/>
        <v>9.5706475474552244E-2</v>
      </c>
      <c r="G15" s="66">
        <f t="shared" si="3"/>
        <v>12</v>
      </c>
      <c r="H15" s="67">
        <f t="shared" si="4"/>
        <v>46840</v>
      </c>
      <c r="I15" s="68">
        <f t="shared" ref="I15:I18" si="10">FORECAST(G15,$I$4:$I$13,$G$4:$G$13)</f>
        <v>8321.3318787878779</v>
      </c>
      <c r="J15" s="69">
        <f t="shared" si="5"/>
        <v>9.4402232274228837E-2</v>
      </c>
      <c r="L15" s="66">
        <f t="shared" si="6"/>
        <v>12</v>
      </c>
      <c r="M15" s="67">
        <f t="shared" si="7"/>
        <v>46840</v>
      </c>
      <c r="N15" s="68">
        <f t="shared" ref="N15:N18" si="11">FORECAST(L15,$N$4:$N$13,$L$4:$L$13)</f>
        <v>50.878790609405613</v>
      </c>
      <c r="O15" s="69">
        <f t="shared" si="8"/>
        <v>9.1579087307197549E-2</v>
      </c>
    </row>
    <row r="16" spans="2:15" x14ac:dyDescent="0.35">
      <c r="B16" s="66">
        <f t="shared" si="0"/>
        <v>13</v>
      </c>
      <c r="C16" s="67">
        <f t="shared" si="1"/>
        <v>47205</v>
      </c>
      <c r="D16" s="68">
        <f t="shared" si="9"/>
        <v>90649.563818181836</v>
      </c>
      <c r="E16" s="69">
        <f t="shared" si="2"/>
        <v>8.7346819259328967E-2</v>
      </c>
      <c r="G16" s="66">
        <f t="shared" si="3"/>
        <v>13</v>
      </c>
      <c r="H16" s="67">
        <f t="shared" si="4"/>
        <v>47205</v>
      </c>
      <c r="I16" s="68">
        <f t="shared" si="10"/>
        <v>9039.12309090909</v>
      </c>
      <c r="J16" s="69">
        <f t="shared" si="5"/>
        <v>8.6259173720850235E-2</v>
      </c>
      <c r="L16" s="66">
        <f t="shared" si="6"/>
        <v>13</v>
      </c>
      <c r="M16" s="67">
        <f t="shared" si="7"/>
        <v>47205</v>
      </c>
      <c r="N16" s="68">
        <f t="shared" si="11"/>
        <v>55.147316144094688</v>
      </c>
      <c r="O16" s="69">
        <f t="shared" si="8"/>
        <v>8.3895970866492808E-2</v>
      </c>
    </row>
    <row r="17" spans="2:15" x14ac:dyDescent="0.35">
      <c r="B17" s="66">
        <f t="shared" si="0"/>
        <v>14</v>
      </c>
      <c r="C17" s="67">
        <f t="shared" si="1"/>
        <v>47570</v>
      </c>
      <c r="D17" s="68">
        <f t="shared" si="9"/>
        <v>97931.464060606057</v>
      </c>
      <c r="E17" s="69">
        <f t="shared" si="2"/>
        <v>8.0330229244452989E-2</v>
      </c>
      <c r="G17" s="66">
        <f t="shared" si="3"/>
        <v>14</v>
      </c>
      <c r="H17" s="67">
        <f t="shared" si="4"/>
        <v>47570</v>
      </c>
      <c r="I17" s="68">
        <f t="shared" si="10"/>
        <v>9756.9143030303021</v>
      </c>
      <c r="J17" s="69">
        <f t="shared" si="5"/>
        <v>7.9409385722727377E-2</v>
      </c>
      <c r="L17" s="66">
        <f t="shared" si="6"/>
        <v>14</v>
      </c>
      <c r="M17" s="67">
        <f t="shared" si="7"/>
        <v>47570</v>
      </c>
      <c r="N17" s="68">
        <f t="shared" si="11"/>
        <v>59.415841678783778</v>
      </c>
      <c r="O17" s="69">
        <f t="shared" si="8"/>
        <v>7.7402235197372882E-2</v>
      </c>
    </row>
    <row r="18" spans="2:15" x14ac:dyDescent="0.35">
      <c r="B18" s="66">
        <f t="shared" si="0"/>
        <v>15</v>
      </c>
      <c r="C18" s="67">
        <f t="shared" si="1"/>
        <v>47935</v>
      </c>
      <c r="D18" s="68">
        <f t="shared" si="9"/>
        <v>105213.36430303031</v>
      </c>
      <c r="E18" s="69">
        <f t="shared" si="2"/>
        <v>7.4357105882923991E-2</v>
      </c>
      <c r="G18" s="66">
        <f t="shared" si="3"/>
        <v>15</v>
      </c>
      <c r="H18" s="67">
        <f t="shared" si="4"/>
        <v>47935</v>
      </c>
      <c r="I18" s="68">
        <f t="shared" si="10"/>
        <v>10474.705515151514</v>
      </c>
      <c r="J18" s="69">
        <f t="shared" si="5"/>
        <v>7.3567440466119516E-2</v>
      </c>
      <c r="L18" s="66">
        <f t="shared" si="6"/>
        <v>15</v>
      </c>
      <c r="M18" s="67">
        <f t="shared" si="7"/>
        <v>47935</v>
      </c>
      <c r="N18" s="68">
        <f t="shared" si="11"/>
        <v>63.684367213472854</v>
      </c>
      <c r="O18" s="69">
        <f t="shared" si="8"/>
        <v>7.1841539462922155E-2</v>
      </c>
    </row>
    <row r="19" spans="2:15" x14ac:dyDescent="0.35">
      <c r="B19" s="20"/>
      <c r="C19" s="65"/>
    </row>
    <row r="20" spans="2:15" x14ac:dyDescent="0.35">
      <c r="B20" s="20"/>
      <c r="C20" s="65"/>
    </row>
  </sheetData>
  <mergeCells count="3">
    <mergeCell ref="B2:E2"/>
    <mergeCell ref="G2:J2"/>
    <mergeCell ref="L2:O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FCE0-C4E9-4FA8-8A52-AD58B10505BC}">
  <sheetPr>
    <tabColor theme="7" tint="-0.249977111117893"/>
  </sheetPr>
  <dimension ref="A1"/>
  <sheetViews>
    <sheetView showGridLines="0" workbookViewId="0"/>
  </sheetViews>
  <sheetFormatPr defaultRowHeight="14.5" x14ac:dyDescent="0.35"/>
  <cols>
    <col min="1" max="1" width="1.81640625" customWidth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85" zoomScaleNormal="73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E90" sqref="E90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6384" width="8.81640625" style="4"/>
  </cols>
  <sheetData>
    <row r="1" spans="1:11" s="1" customFormat="1" x14ac:dyDescent="0.35">
      <c r="A1" s="1" t="s">
        <v>0</v>
      </c>
      <c r="B1" s="1" t="s">
        <v>63</v>
      </c>
      <c r="E1" s="72" t="str">
        <f>IF(B2&lt;&gt;B3, "A NEW VERSION OF THE WORKSHEET IS AVAILABLE", "")</f>
        <v/>
      </c>
      <c r="F1" s="72"/>
      <c r="G1" s="72"/>
      <c r="H1" s="72"/>
      <c r="I1" s="72"/>
      <c r="J1" s="72"/>
      <c r="K1" s="72"/>
    </row>
    <row r="2" spans="1:11" x14ac:dyDescent="0.35">
      <c r="A2" s="1" t="s">
        <v>61</v>
      </c>
      <c r="B2" s="4">
        <v>2.1</v>
      </c>
      <c r="E2" s="73" t="s">
        <v>36</v>
      </c>
      <c r="F2" s="73"/>
      <c r="G2" s="73"/>
      <c r="H2" s="73"/>
      <c r="I2" s="73"/>
      <c r="J2" s="73"/>
      <c r="K2" s="73"/>
    </row>
    <row r="3" spans="1:11" x14ac:dyDescent="0.35">
      <c r="A3" s="1" t="s">
        <v>62</v>
      </c>
      <c r="B3" s="4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4" t="s">
        <v>42</v>
      </c>
      <c r="B6" s="4">
        <f>IF(B9&gt;0, B9/B8, 0)</f>
        <v>88.778622370882715</v>
      </c>
    </row>
    <row r="7" spans="1:11" x14ac:dyDescent="0.35">
      <c r="A7" s="4" t="s">
        <v>31</v>
      </c>
      <c r="B7">
        <v>1</v>
      </c>
    </row>
    <row r="8" spans="1:11" x14ac:dyDescent="0.35">
      <c r="A8" s="4" t="s">
        <v>43</v>
      </c>
      <c r="B8">
        <v>4409.75</v>
      </c>
    </row>
    <row r="9" spans="1:11" x14ac:dyDescent="0.35">
      <c r="A9" s="4" t="s">
        <v>79</v>
      </c>
      <c r="B9">
        <v>391491.53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35">
      <c r="A17" s="6" t="s">
        <v>6</v>
      </c>
      <c r="B17">
        <v>13260.83</v>
      </c>
      <c r="C17">
        <v>16119.77</v>
      </c>
      <c r="D17">
        <v>19778.52</v>
      </c>
      <c r="E17">
        <v>21052</v>
      </c>
      <c r="F17">
        <v>21644</v>
      </c>
      <c r="G17">
        <v>28799</v>
      </c>
      <c r="H17">
        <v>40575</v>
      </c>
      <c r="I17">
        <v>51084</v>
      </c>
      <c r="J17">
        <v>60456</v>
      </c>
      <c r="K17">
        <v>87584</v>
      </c>
    </row>
    <row r="18" spans="1:11" s="6" customFormat="1" x14ac:dyDescent="0.35">
      <c r="A18" s="4" t="s">
        <v>80</v>
      </c>
      <c r="B18">
        <v>9821.14</v>
      </c>
      <c r="C18">
        <v>12664.83</v>
      </c>
      <c r="D18">
        <v>15170.66</v>
      </c>
      <c r="E18">
        <v>16033</v>
      </c>
      <c r="F18">
        <v>16292</v>
      </c>
      <c r="G18">
        <v>26436</v>
      </c>
      <c r="H18">
        <v>32589</v>
      </c>
      <c r="I18">
        <v>42103</v>
      </c>
      <c r="J18">
        <v>55271</v>
      </c>
      <c r="K18">
        <v>80243</v>
      </c>
    </row>
    <row r="19" spans="1:11" s="6" customFormat="1" x14ac:dyDescent="0.35">
      <c r="A19" s="4" t="s">
        <v>81</v>
      </c>
      <c r="B19">
        <v>313.70999999999998</v>
      </c>
      <c r="C19">
        <v>978.61</v>
      </c>
      <c r="D19">
        <v>776.41</v>
      </c>
      <c r="E19">
        <v>878</v>
      </c>
      <c r="F19">
        <v>-122</v>
      </c>
      <c r="G19">
        <v>4795</v>
      </c>
      <c r="H19">
        <v>2234</v>
      </c>
      <c r="I19">
        <v>2671</v>
      </c>
      <c r="J19">
        <v>7815</v>
      </c>
      <c r="K19">
        <v>9936</v>
      </c>
    </row>
    <row r="20" spans="1:11" s="6" customFormat="1" x14ac:dyDescent="0.35">
      <c r="A20" s="4" t="s">
        <v>82</v>
      </c>
      <c r="B20">
        <v>43.84</v>
      </c>
      <c r="C20">
        <v>45.32</v>
      </c>
      <c r="D20">
        <v>48.51</v>
      </c>
      <c r="E20">
        <v>52</v>
      </c>
      <c r="F20">
        <v>37</v>
      </c>
      <c r="G20">
        <v>45</v>
      </c>
      <c r="H20">
        <v>59</v>
      </c>
      <c r="I20">
        <v>71</v>
      </c>
      <c r="J20">
        <v>78</v>
      </c>
    </row>
    <row r="21" spans="1:11" s="6" customFormat="1" x14ac:dyDescent="0.35">
      <c r="A21" s="4" t="s">
        <v>83</v>
      </c>
      <c r="B21">
        <v>160.41999999999999</v>
      </c>
      <c r="C21">
        <v>124.83</v>
      </c>
      <c r="D21">
        <v>193.28</v>
      </c>
      <c r="E21">
        <v>215</v>
      </c>
      <c r="F21">
        <v>141</v>
      </c>
      <c r="G21">
        <v>183</v>
      </c>
      <c r="H21">
        <v>225</v>
      </c>
      <c r="I21">
        <v>286</v>
      </c>
      <c r="J21">
        <v>326</v>
      </c>
    </row>
    <row r="22" spans="1:11" s="6" customFormat="1" x14ac:dyDescent="0.35">
      <c r="A22" s="4" t="s">
        <v>84</v>
      </c>
      <c r="B22">
        <v>894.32</v>
      </c>
      <c r="C22">
        <v>906.26</v>
      </c>
      <c r="D22">
        <v>1024.44</v>
      </c>
      <c r="E22">
        <v>1204</v>
      </c>
      <c r="F22">
        <v>1069</v>
      </c>
      <c r="G22">
        <v>1356</v>
      </c>
      <c r="H22">
        <v>1656</v>
      </c>
      <c r="I22">
        <v>1875</v>
      </c>
      <c r="J22">
        <v>2164</v>
      </c>
      <c r="K22">
        <v>2681</v>
      </c>
    </row>
    <row r="23" spans="1:11" s="6" customFormat="1" x14ac:dyDescent="0.35">
      <c r="A23" s="4" t="s">
        <v>85</v>
      </c>
      <c r="B23">
        <v>1211.1600000000001</v>
      </c>
      <c r="C23">
        <v>1277.81</v>
      </c>
      <c r="D23">
        <v>1454.32</v>
      </c>
      <c r="E23">
        <v>1470</v>
      </c>
      <c r="F23">
        <v>1029</v>
      </c>
      <c r="G23">
        <v>1697</v>
      </c>
      <c r="H23">
        <v>2715</v>
      </c>
      <c r="I23">
        <v>3249</v>
      </c>
      <c r="J23">
        <v>3488</v>
      </c>
      <c r="K23">
        <v>1535</v>
      </c>
    </row>
    <row r="24" spans="1:11" s="6" customFormat="1" x14ac:dyDescent="0.35">
      <c r="A24" s="4" t="s">
        <v>86</v>
      </c>
      <c r="B24">
        <v>279.76</v>
      </c>
      <c r="C24">
        <v>435.13</v>
      </c>
      <c r="D24">
        <v>669.93</v>
      </c>
      <c r="E24">
        <v>493</v>
      </c>
      <c r="F24">
        <v>1229</v>
      </c>
      <c r="G24">
        <v>533</v>
      </c>
      <c r="H24">
        <v>683</v>
      </c>
      <c r="I24">
        <v>879</v>
      </c>
      <c r="J24">
        <v>1250</v>
      </c>
      <c r="K24">
        <v>4706</v>
      </c>
    </row>
    <row r="25" spans="1:11" s="6" customFormat="1" x14ac:dyDescent="0.35">
      <c r="A25" s="6" t="s">
        <v>9</v>
      </c>
      <c r="B25">
        <v>-42.38</v>
      </c>
      <c r="C25">
        <v>69.930000000000007</v>
      </c>
      <c r="D25">
        <v>178.48</v>
      </c>
      <c r="E25">
        <v>153</v>
      </c>
      <c r="F25">
        <v>180</v>
      </c>
      <c r="G25">
        <v>177</v>
      </c>
      <c r="H25">
        <v>306</v>
      </c>
      <c r="I25">
        <v>534</v>
      </c>
      <c r="J25">
        <v>487</v>
      </c>
      <c r="K25">
        <v>452</v>
      </c>
    </row>
    <row r="26" spans="1:11" s="6" customFormat="1" x14ac:dyDescent="0.35">
      <c r="A26" s="6" t="s">
        <v>10</v>
      </c>
      <c r="B26">
        <v>110.53</v>
      </c>
      <c r="C26">
        <v>131.43</v>
      </c>
      <c r="D26">
        <v>162.84</v>
      </c>
      <c r="E26">
        <v>348</v>
      </c>
      <c r="F26">
        <v>375</v>
      </c>
      <c r="G26">
        <v>399</v>
      </c>
      <c r="H26">
        <v>441</v>
      </c>
      <c r="I26">
        <v>584</v>
      </c>
      <c r="J26">
        <v>693</v>
      </c>
      <c r="K26">
        <v>826</v>
      </c>
    </row>
    <row r="27" spans="1:11" s="6" customFormat="1" x14ac:dyDescent="0.35">
      <c r="A27" s="6" t="s">
        <v>11</v>
      </c>
      <c r="B27">
        <v>37.74</v>
      </c>
      <c r="C27">
        <v>52.92</v>
      </c>
      <c r="D27">
        <v>52.54</v>
      </c>
      <c r="E27">
        <v>166</v>
      </c>
      <c r="F27">
        <v>203</v>
      </c>
      <c r="G27">
        <v>218</v>
      </c>
      <c r="H27">
        <v>300</v>
      </c>
      <c r="I27">
        <v>619</v>
      </c>
      <c r="J27">
        <v>953</v>
      </c>
      <c r="K27">
        <v>1180</v>
      </c>
    </row>
    <row r="28" spans="1:11" s="6" customFormat="1" x14ac:dyDescent="0.35">
      <c r="A28" s="6" t="s">
        <v>12</v>
      </c>
      <c r="B28">
        <v>973.25</v>
      </c>
      <c r="C28">
        <v>1529.78</v>
      </c>
      <c r="D28">
        <v>1956.89</v>
      </c>
      <c r="E28">
        <v>2102</v>
      </c>
      <c r="F28">
        <v>1327</v>
      </c>
      <c r="G28">
        <v>2904</v>
      </c>
      <c r="H28">
        <v>4447</v>
      </c>
      <c r="I28">
        <v>4623</v>
      </c>
      <c r="J28">
        <v>4535</v>
      </c>
      <c r="K28">
        <v>6801</v>
      </c>
    </row>
    <row r="29" spans="1:11" s="6" customFormat="1" x14ac:dyDescent="0.35">
      <c r="A29" s="6" t="s">
        <v>13</v>
      </c>
      <c r="B29">
        <v>275.97000000000003</v>
      </c>
      <c r="C29">
        <v>427.87</v>
      </c>
      <c r="D29">
        <v>568.24</v>
      </c>
      <c r="E29">
        <v>609</v>
      </c>
      <c r="F29">
        <v>353</v>
      </c>
      <c r="G29">
        <v>706</v>
      </c>
      <c r="H29">
        <v>1173</v>
      </c>
      <c r="I29">
        <v>1127</v>
      </c>
      <c r="J29">
        <v>1198</v>
      </c>
      <c r="K29">
        <v>1728</v>
      </c>
    </row>
    <row r="30" spans="1:11" s="6" customFormat="1" x14ac:dyDescent="0.35">
      <c r="A30" s="6" t="s">
        <v>14</v>
      </c>
      <c r="B30">
        <v>711.47</v>
      </c>
      <c r="C30">
        <v>1130.0899999999999</v>
      </c>
      <c r="D30">
        <v>1404.15</v>
      </c>
      <c r="E30">
        <v>1501</v>
      </c>
      <c r="F30">
        <v>973</v>
      </c>
      <c r="G30">
        <v>2173</v>
      </c>
      <c r="H30">
        <v>3250</v>
      </c>
      <c r="I30">
        <v>3496</v>
      </c>
      <c r="J30">
        <v>3337</v>
      </c>
      <c r="K30">
        <v>5073</v>
      </c>
    </row>
    <row r="31" spans="1:11" s="6" customFormat="1" x14ac:dyDescent="0.35">
      <c r="A31" s="6" t="s">
        <v>70</v>
      </c>
      <c r="B31">
        <v>230.83</v>
      </c>
      <c r="C31">
        <v>332.92</v>
      </c>
      <c r="D31">
        <v>443.9</v>
      </c>
      <c r="E31">
        <v>356</v>
      </c>
      <c r="F31">
        <v>356</v>
      </c>
      <c r="G31">
        <v>667.5</v>
      </c>
      <c r="H31">
        <v>890</v>
      </c>
      <c r="I31">
        <v>979</v>
      </c>
      <c r="J31">
        <v>979</v>
      </c>
      <c r="K31">
        <v>1335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35">
      <c r="A42" s="6" t="s">
        <v>6</v>
      </c>
      <c r="B42">
        <v>14164</v>
      </c>
      <c r="C42">
        <v>12494</v>
      </c>
      <c r="D42">
        <v>13266</v>
      </c>
      <c r="E42">
        <v>14534</v>
      </c>
      <c r="F42">
        <v>17740</v>
      </c>
      <c r="G42">
        <v>14916</v>
      </c>
      <c r="H42">
        <v>16523</v>
      </c>
      <c r="I42">
        <v>18725</v>
      </c>
      <c r="J42">
        <v>25416</v>
      </c>
      <c r="K42">
        <v>26920</v>
      </c>
    </row>
    <row r="43" spans="1:11" s="6" customFormat="1" x14ac:dyDescent="0.35">
      <c r="A43" s="6" t="s">
        <v>7</v>
      </c>
      <c r="B43">
        <v>12599</v>
      </c>
      <c r="C43">
        <v>11303</v>
      </c>
      <c r="D43">
        <v>12019</v>
      </c>
      <c r="E43">
        <v>13298</v>
      </c>
      <c r="F43">
        <v>16066</v>
      </c>
      <c r="G43">
        <v>13379</v>
      </c>
      <c r="H43">
        <v>14693</v>
      </c>
      <c r="I43">
        <v>16850</v>
      </c>
      <c r="J43">
        <v>22703</v>
      </c>
      <c r="K43">
        <v>24982</v>
      </c>
    </row>
    <row r="44" spans="1:11" s="6" customFormat="1" x14ac:dyDescent="0.35">
      <c r="A44" s="6" t="s">
        <v>9</v>
      </c>
      <c r="B44">
        <v>136</v>
      </c>
      <c r="C44">
        <v>159</v>
      </c>
      <c r="D44">
        <v>120</v>
      </c>
      <c r="E44">
        <v>123</v>
      </c>
      <c r="F44">
        <v>128</v>
      </c>
      <c r="G44">
        <v>116</v>
      </c>
      <c r="H44">
        <v>105</v>
      </c>
      <c r="I44">
        <v>113</v>
      </c>
      <c r="J44">
        <v>-1</v>
      </c>
      <c r="K44">
        <v>235</v>
      </c>
    </row>
    <row r="45" spans="1:11" s="6" customFormat="1" x14ac:dyDescent="0.35">
      <c r="A45" s="6" t="s">
        <v>10</v>
      </c>
      <c r="B45">
        <v>154</v>
      </c>
      <c r="C45">
        <v>158</v>
      </c>
      <c r="D45">
        <v>164</v>
      </c>
      <c r="E45">
        <v>171</v>
      </c>
      <c r="F45">
        <v>175</v>
      </c>
      <c r="G45">
        <v>183</v>
      </c>
      <c r="H45">
        <v>184</v>
      </c>
      <c r="I45">
        <v>189</v>
      </c>
      <c r="J45">
        <v>207</v>
      </c>
      <c r="K45">
        <v>246</v>
      </c>
    </row>
    <row r="46" spans="1:11" s="6" customFormat="1" x14ac:dyDescent="0.35">
      <c r="A46" s="6" t="s">
        <v>11</v>
      </c>
      <c r="B46">
        <v>169</v>
      </c>
      <c r="C46">
        <v>201</v>
      </c>
      <c r="D46">
        <v>230</v>
      </c>
      <c r="E46">
        <v>240</v>
      </c>
      <c r="F46">
        <v>231</v>
      </c>
      <c r="G46">
        <v>252</v>
      </c>
      <c r="H46">
        <v>271</v>
      </c>
      <c r="I46">
        <v>277</v>
      </c>
      <c r="J46">
        <v>282</v>
      </c>
      <c r="K46">
        <v>350</v>
      </c>
    </row>
    <row r="47" spans="1:11" s="6" customFormat="1" x14ac:dyDescent="0.35">
      <c r="A47" s="6" t="s">
        <v>12</v>
      </c>
      <c r="B47">
        <v>1378</v>
      </c>
      <c r="C47">
        <v>991</v>
      </c>
      <c r="D47">
        <v>973</v>
      </c>
      <c r="E47">
        <v>948</v>
      </c>
      <c r="F47">
        <v>1396</v>
      </c>
      <c r="G47">
        <v>1218</v>
      </c>
      <c r="H47">
        <v>1480</v>
      </c>
      <c r="I47">
        <v>1522</v>
      </c>
      <c r="J47">
        <v>2223</v>
      </c>
      <c r="K47">
        <v>1577</v>
      </c>
    </row>
    <row r="48" spans="1:11" s="6" customFormat="1" x14ac:dyDescent="0.35">
      <c r="A48" s="6" t="s">
        <v>13</v>
      </c>
      <c r="B48">
        <v>325</v>
      </c>
      <c r="C48">
        <v>220</v>
      </c>
      <c r="D48">
        <v>258</v>
      </c>
      <c r="E48">
        <v>244</v>
      </c>
      <c r="F48">
        <v>349</v>
      </c>
      <c r="G48">
        <v>347</v>
      </c>
      <c r="H48">
        <v>389</v>
      </c>
      <c r="I48">
        <v>402</v>
      </c>
      <c r="J48">
        <v>539</v>
      </c>
      <c r="K48">
        <v>398</v>
      </c>
    </row>
    <row r="49" spans="1:11" s="6" customFormat="1" x14ac:dyDescent="0.35">
      <c r="A49" s="6" t="s">
        <v>14</v>
      </c>
      <c r="B49">
        <v>1053</v>
      </c>
      <c r="C49">
        <v>771</v>
      </c>
      <c r="D49">
        <v>715</v>
      </c>
      <c r="E49">
        <v>704</v>
      </c>
      <c r="F49">
        <v>1047</v>
      </c>
      <c r="G49">
        <v>871</v>
      </c>
      <c r="H49">
        <v>1091</v>
      </c>
      <c r="I49">
        <v>1120</v>
      </c>
      <c r="J49">
        <v>1684</v>
      </c>
      <c r="K49">
        <v>1179</v>
      </c>
    </row>
    <row r="50" spans="1:11" x14ac:dyDescent="0.35">
      <c r="A50" s="6" t="s">
        <v>8</v>
      </c>
      <c r="B50">
        <v>1565</v>
      </c>
      <c r="C50">
        <v>1191</v>
      </c>
      <c r="D50">
        <v>1247</v>
      </c>
      <c r="E50">
        <v>1236</v>
      </c>
      <c r="F50">
        <v>1674</v>
      </c>
      <c r="G50">
        <v>1537</v>
      </c>
      <c r="H50">
        <v>1830</v>
      </c>
      <c r="I50">
        <v>1875</v>
      </c>
      <c r="J50">
        <v>2713</v>
      </c>
      <c r="K50">
        <v>1938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5">
      <c r="A57" s="6" t="s">
        <v>24</v>
      </c>
      <c r="B57">
        <v>88.78</v>
      </c>
      <c r="C57">
        <v>88.78</v>
      </c>
      <c r="D57">
        <v>88.78</v>
      </c>
      <c r="E57">
        <v>89</v>
      </c>
      <c r="F57">
        <v>89</v>
      </c>
      <c r="G57">
        <v>89</v>
      </c>
      <c r="H57">
        <v>89</v>
      </c>
      <c r="I57">
        <v>89</v>
      </c>
      <c r="J57">
        <v>89</v>
      </c>
      <c r="K57">
        <v>89</v>
      </c>
    </row>
    <row r="58" spans="1:11" x14ac:dyDescent="0.35">
      <c r="A58" s="6" t="s">
        <v>25</v>
      </c>
      <c r="B58">
        <v>4143.6000000000004</v>
      </c>
      <c r="C58">
        <v>5001.1000000000004</v>
      </c>
      <c r="D58">
        <v>5981.37</v>
      </c>
      <c r="E58">
        <v>6580</v>
      </c>
      <c r="F58">
        <v>7408</v>
      </c>
      <c r="G58">
        <v>9214</v>
      </c>
      <c r="H58">
        <v>11762</v>
      </c>
      <c r="I58">
        <v>9304</v>
      </c>
      <c r="J58">
        <v>11535</v>
      </c>
      <c r="K58">
        <v>15614</v>
      </c>
    </row>
    <row r="59" spans="1:11" x14ac:dyDescent="0.35">
      <c r="A59" s="6" t="s">
        <v>71</v>
      </c>
      <c r="B59">
        <v>1882.43</v>
      </c>
      <c r="C59">
        <v>1691.01</v>
      </c>
      <c r="D59">
        <v>2392.98</v>
      </c>
      <c r="E59">
        <v>3562</v>
      </c>
      <c r="F59">
        <v>5638</v>
      </c>
      <c r="G59">
        <v>7275</v>
      </c>
      <c r="H59">
        <v>9367</v>
      </c>
      <c r="I59">
        <v>15528</v>
      </c>
      <c r="J59">
        <v>20777</v>
      </c>
      <c r="K59">
        <v>14551</v>
      </c>
    </row>
    <row r="60" spans="1:11" x14ac:dyDescent="0.35">
      <c r="A60" s="6" t="s">
        <v>72</v>
      </c>
      <c r="B60">
        <v>2292.7600000000002</v>
      </c>
      <c r="C60">
        <v>2740.15</v>
      </c>
      <c r="D60">
        <v>3246.71</v>
      </c>
      <c r="E60">
        <v>3313</v>
      </c>
      <c r="F60">
        <v>3309</v>
      </c>
      <c r="G60">
        <v>4610</v>
      </c>
      <c r="H60">
        <v>5802</v>
      </c>
      <c r="I60">
        <v>6626</v>
      </c>
      <c r="J60">
        <v>8244</v>
      </c>
      <c r="K60">
        <v>30307</v>
      </c>
    </row>
    <row r="61" spans="1:11" s="1" customFormat="1" x14ac:dyDescent="0.35">
      <c r="A61" s="1" t="s">
        <v>26</v>
      </c>
      <c r="B61">
        <v>8407.57</v>
      </c>
      <c r="C61">
        <v>9521.0400000000009</v>
      </c>
      <c r="D61">
        <v>11709.84</v>
      </c>
      <c r="E61">
        <v>13544</v>
      </c>
      <c r="F61">
        <v>16444</v>
      </c>
      <c r="G61">
        <v>21188</v>
      </c>
      <c r="H61">
        <v>27020</v>
      </c>
      <c r="I61">
        <v>31547</v>
      </c>
      <c r="J61">
        <v>40645</v>
      </c>
      <c r="K61">
        <v>60561</v>
      </c>
    </row>
    <row r="62" spans="1:11" x14ac:dyDescent="0.35">
      <c r="A62" s="6" t="s">
        <v>27</v>
      </c>
      <c r="B62">
        <v>1188.72</v>
      </c>
      <c r="C62">
        <v>1473.81</v>
      </c>
      <c r="D62">
        <v>1566.63</v>
      </c>
      <c r="E62">
        <v>2633</v>
      </c>
      <c r="F62">
        <v>2523</v>
      </c>
      <c r="G62">
        <v>2544</v>
      </c>
      <c r="H62">
        <v>2998</v>
      </c>
      <c r="I62">
        <v>3709</v>
      </c>
      <c r="J62">
        <v>4062</v>
      </c>
      <c r="K62">
        <v>6906</v>
      </c>
    </row>
    <row r="63" spans="1:11" x14ac:dyDescent="0.35">
      <c r="A63" s="6" t="s">
        <v>28</v>
      </c>
      <c r="B63">
        <v>152.07</v>
      </c>
      <c r="C63">
        <v>43.37</v>
      </c>
      <c r="D63">
        <v>31.77</v>
      </c>
      <c r="E63">
        <v>18</v>
      </c>
      <c r="F63">
        <v>32</v>
      </c>
      <c r="G63">
        <v>85</v>
      </c>
      <c r="H63">
        <v>144</v>
      </c>
      <c r="I63">
        <v>97</v>
      </c>
      <c r="J63">
        <v>105</v>
      </c>
      <c r="K63">
        <v>135</v>
      </c>
    </row>
    <row r="64" spans="1:11" x14ac:dyDescent="0.35">
      <c r="A64" s="6" t="s">
        <v>29</v>
      </c>
      <c r="B64">
        <v>430.73</v>
      </c>
      <c r="C64">
        <v>35.99</v>
      </c>
      <c r="D64">
        <v>108.42</v>
      </c>
      <c r="E64">
        <v>158</v>
      </c>
      <c r="F64">
        <v>2824</v>
      </c>
      <c r="G64">
        <v>294</v>
      </c>
      <c r="H64">
        <v>2515</v>
      </c>
      <c r="I64">
        <v>2345</v>
      </c>
      <c r="J64">
        <v>1988</v>
      </c>
      <c r="K64">
        <v>3506</v>
      </c>
    </row>
    <row r="65" spans="1:11" x14ac:dyDescent="0.35">
      <c r="A65" s="6" t="s">
        <v>73</v>
      </c>
      <c r="B65">
        <v>6636.05</v>
      </c>
      <c r="C65">
        <v>7967.87</v>
      </c>
      <c r="D65">
        <v>10003.02</v>
      </c>
      <c r="E65">
        <v>10735</v>
      </c>
      <c r="F65">
        <v>11065</v>
      </c>
      <c r="G65">
        <v>18265</v>
      </c>
      <c r="H65">
        <v>21363</v>
      </c>
      <c r="I65">
        <v>25396</v>
      </c>
      <c r="J65">
        <v>34490</v>
      </c>
      <c r="K65">
        <v>50014</v>
      </c>
    </row>
    <row r="66" spans="1:11" s="1" customFormat="1" x14ac:dyDescent="0.35">
      <c r="A66" s="1" t="s">
        <v>26</v>
      </c>
      <c r="B66">
        <v>8407.57</v>
      </c>
      <c r="C66">
        <v>9521.0400000000009</v>
      </c>
      <c r="D66">
        <v>11709.84</v>
      </c>
      <c r="E66">
        <v>13544</v>
      </c>
      <c r="F66">
        <v>16444</v>
      </c>
      <c r="G66">
        <v>21188</v>
      </c>
      <c r="H66">
        <v>27020</v>
      </c>
      <c r="I66">
        <v>31547</v>
      </c>
      <c r="J66">
        <v>40645</v>
      </c>
      <c r="K66">
        <v>60561</v>
      </c>
    </row>
    <row r="67" spans="1:11" s="6" customFormat="1" x14ac:dyDescent="0.35">
      <c r="A67" s="6" t="s">
        <v>78</v>
      </c>
      <c r="B67">
        <v>207.6</v>
      </c>
      <c r="C67">
        <v>295.69</v>
      </c>
      <c r="D67">
        <v>420.45</v>
      </c>
      <c r="E67">
        <v>312</v>
      </c>
      <c r="F67">
        <v>366</v>
      </c>
      <c r="G67">
        <v>565</v>
      </c>
      <c r="H67">
        <v>674</v>
      </c>
      <c r="I67">
        <v>1018</v>
      </c>
      <c r="J67">
        <v>1068</v>
      </c>
      <c r="K67">
        <v>916</v>
      </c>
    </row>
    <row r="68" spans="1:11" x14ac:dyDescent="0.35">
      <c r="A68" s="6" t="s">
        <v>45</v>
      </c>
      <c r="B68">
        <v>4925.74</v>
      </c>
      <c r="C68">
        <v>5924.84</v>
      </c>
      <c r="D68">
        <v>7038.82</v>
      </c>
      <c r="E68">
        <v>8103</v>
      </c>
      <c r="F68">
        <v>8408</v>
      </c>
      <c r="G68">
        <v>13609</v>
      </c>
      <c r="H68">
        <v>16584</v>
      </c>
      <c r="I68">
        <v>19051</v>
      </c>
      <c r="J68">
        <v>28184</v>
      </c>
      <c r="K68">
        <v>42743</v>
      </c>
    </row>
    <row r="69" spans="1:11" x14ac:dyDescent="0.35">
      <c r="A69" s="4" t="s">
        <v>87</v>
      </c>
      <c r="B69">
        <v>778.93</v>
      </c>
      <c r="C69">
        <v>617.91</v>
      </c>
      <c r="D69">
        <v>1066.48</v>
      </c>
      <c r="E69">
        <v>381</v>
      </c>
      <c r="F69">
        <v>560</v>
      </c>
      <c r="G69">
        <v>1573</v>
      </c>
      <c r="H69">
        <v>1343</v>
      </c>
      <c r="I69">
        <v>1526</v>
      </c>
      <c r="J69">
        <v>1584</v>
      </c>
      <c r="K69">
        <v>1917</v>
      </c>
    </row>
    <row r="70" spans="1:11" x14ac:dyDescent="0.35">
      <c r="A70" s="4" t="s">
        <v>74</v>
      </c>
      <c r="B70">
        <v>887786160</v>
      </c>
      <c r="C70">
        <v>887786160</v>
      </c>
      <c r="D70">
        <v>887786160</v>
      </c>
      <c r="E70">
        <v>887786160</v>
      </c>
      <c r="F70">
        <v>887786160</v>
      </c>
      <c r="G70">
        <v>887786160</v>
      </c>
      <c r="H70">
        <v>890000000</v>
      </c>
      <c r="I70">
        <v>890000000</v>
      </c>
      <c r="J70">
        <v>890000000</v>
      </c>
    </row>
    <row r="71" spans="1:11" x14ac:dyDescent="0.35">
      <c r="A71" s="4" t="s">
        <v>75</v>
      </c>
    </row>
    <row r="72" spans="1:11" x14ac:dyDescent="0.35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35">
      <c r="A82" s="6" t="s">
        <v>32</v>
      </c>
      <c r="B82">
        <v>1712.3</v>
      </c>
      <c r="C82">
        <v>-51.12</v>
      </c>
      <c r="D82">
        <v>1242.92</v>
      </c>
      <c r="E82">
        <v>-348</v>
      </c>
      <c r="F82">
        <v>4139</v>
      </c>
      <c r="G82">
        <v>-724</v>
      </c>
      <c r="H82">
        <v>1370</v>
      </c>
      <c r="I82">
        <v>1695</v>
      </c>
      <c r="J82">
        <v>-541</v>
      </c>
      <c r="K82">
        <v>5590</v>
      </c>
    </row>
    <row r="83" spans="1:11" s="6" customFormat="1" x14ac:dyDescent="0.35">
      <c r="A83" s="6" t="s">
        <v>33</v>
      </c>
      <c r="B83">
        <v>-953.15</v>
      </c>
      <c r="C83">
        <v>97.62</v>
      </c>
      <c r="D83">
        <v>-796.61</v>
      </c>
      <c r="E83">
        <v>235</v>
      </c>
      <c r="F83">
        <v>-2799</v>
      </c>
      <c r="G83">
        <v>1165</v>
      </c>
      <c r="H83">
        <v>-1814</v>
      </c>
      <c r="I83">
        <v>-189</v>
      </c>
      <c r="J83">
        <v>546</v>
      </c>
      <c r="K83">
        <v>-2934</v>
      </c>
    </row>
    <row r="84" spans="1:11" s="6" customFormat="1" x14ac:dyDescent="0.35">
      <c r="A84" s="6" t="s">
        <v>34</v>
      </c>
      <c r="B84">
        <v>-165.6</v>
      </c>
      <c r="C84">
        <v>-252.45</v>
      </c>
      <c r="D84">
        <v>-488.83</v>
      </c>
      <c r="E84">
        <v>-242</v>
      </c>
      <c r="F84">
        <v>-1234</v>
      </c>
      <c r="G84">
        <v>-403</v>
      </c>
      <c r="H84">
        <v>457</v>
      </c>
      <c r="I84">
        <v>-1329</v>
      </c>
      <c r="J84">
        <v>-7</v>
      </c>
      <c r="K84">
        <v>-2159</v>
      </c>
    </row>
    <row r="85" spans="1:11" s="1" customFormat="1" x14ac:dyDescent="0.35">
      <c r="A85" s="6" t="s">
        <v>35</v>
      </c>
      <c r="B85">
        <v>593.54999999999995</v>
      </c>
      <c r="C85">
        <v>-205.95</v>
      </c>
      <c r="D85">
        <v>-42.52</v>
      </c>
      <c r="E85">
        <v>-355</v>
      </c>
      <c r="F85">
        <v>106</v>
      </c>
      <c r="G85">
        <v>38</v>
      </c>
      <c r="H85">
        <v>13</v>
      </c>
      <c r="I85">
        <v>177</v>
      </c>
      <c r="J85">
        <v>-2</v>
      </c>
      <c r="K85">
        <v>497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77</v>
      </c>
      <c r="B90">
        <v>462.75</v>
      </c>
      <c r="C90">
        <v>942.3</v>
      </c>
      <c r="D90">
        <v>1141.8499999999999</v>
      </c>
      <c r="E90">
        <v>933.7</v>
      </c>
      <c r="F90">
        <v>1558.05</v>
      </c>
      <c r="G90">
        <v>2536.15</v>
      </c>
      <c r="H90">
        <v>2514.9</v>
      </c>
      <c r="I90">
        <v>3801.8</v>
      </c>
      <c r="J90">
        <v>3063.35</v>
      </c>
      <c r="K90">
        <v>3951.4</v>
      </c>
    </row>
    <row r="92" spans="1:11" s="1" customFormat="1" x14ac:dyDescent="0.35">
      <c r="A92" s="1" t="s">
        <v>76</v>
      </c>
    </row>
    <row r="93" spans="1:11" x14ac:dyDescent="0.35">
      <c r="A93" s="4" t="s">
        <v>89</v>
      </c>
      <c r="B93" s="24">
        <v>88.78</v>
      </c>
      <c r="C93" s="24">
        <v>88.78</v>
      </c>
      <c r="D93" s="24">
        <v>88.78</v>
      </c>
      <c r="E93" s="24">
        <v>88.78</v>
      </c>
      <c r="F93" s="24">
        <v>88.78</v>
      </c>
      <c r="G93" s="24">
        <v>88.78</v>
      </c>
      <c r="H93" s="24">
        <v>88.78</v>
      </c>
      <c r="I93" s="24">
        <v>88.78</v>
      </c>
      <c r="J93" s="24">
        <v>88.78</v>
      </c>
      <c r="K93" s="24">
        <v>88.78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3963-943D-41D3-8DE0-975908452785}">
  <sheetPr>
    <tabColor theme="4" tint="-0.499984740745262"/>
  </sheetPr>
  <dimension ref="B2:N31"/>
  <sheetViews>
    <sheetView workbookViewId="0">
      <selection activeCell="E19" sqref="E19"/>
    </sheetView>
  </sheetViews>
  <sheetFormatPr defaultRowHeight="14.5" x14ac:dyDescent="0.35"/>
  <cols>
    <col min="1" max="1" width="2.453125" customWidth="1"/>
    <col min="2" max="2" width="26" bestFit="1" customWidth="1"/>
    <col min="3" max="13" width="6.90625" bestFit="1" customWidth="1"/>
    <col min="14" max="14" width="9.54296875" bestFit="1" customWidth="1"/>
  </cols>
  <sheetData>
    <row r="2" spans="2:14" x14ac:dyDescent="0.35">
      <c r="B2" s="42"/>
      <c r="C2" s="42">
        <v>42064</v>
      </c>
      <c r="D2" s="42">
        <v>42430</v>
      </c>
      <c r="E2" s="42">
        <v>42795</v>
      </c>
      <c r="F2" s="42">
        <v>43160</v>
      </c>
      <c r="G2" s="42">
        <v>43525</v>
      </c>
      <c r="H2" s="42">
        <v>43891</v>
      </c>
      <c r="I2" s="42">
        <v>44256</v>
      </c>
      <c r="J2" s="42">
        <v>44621</v>
      </c>
      <c r="K2" s="42">
        <v>44986</v>
      </c>
      <c r="L2" s="42">
        <v>45352</v>
      </c>
      <c r="M2" s="42">
        <v>45717</v>
      </c>
      <c r="N2" s="42">
        <v>46082</v>
      </c>
    </row>
    <row r="3" spans="2:14" x14ac:dyDescent="0.35">
      <c r="B3" t="s">
        <v>150</v>
      </c>
      <c r="C3">
        <v>503</v>
      </c>
      <c r="D3">
        <v>576</v>
      </c>
      <c r="E3" s="43">
        <v>1712</v>
      </c>
      <c r="F3">
        <v>-51</v>
      </c>
      <c r="G3" s="43">
        <v>1243</v>
      </c>
      <c r="H3">
        <v>-348</v>
      </c>
      <c r="I3" s="43">
        <v>4139</v>
      </c>
      <c r="J3">
        <v>-724</v>
      </c>
      <c r="K3" s="43">
        <v>1370</v>
      </c>
      <c r="L3" s="43">
        <v>1695</v>
      </c>
      <c r="M3">
        <v>-541</v>
      </c>
      <c r="N3" s="43">
        <v>5590</v>
      </c>
    </row>
    <row r="4" spans="2:14" x14ac:dyDescent="0.35">
      <c r="B4" t="s">
        <v>127</v>
      </c>
      <c r="C4" s="43">
        <v>1163</v>
      </c>
      <c r="D4">
        <v>942</v>
      </c>
      <c r="E4" s="43">
        <v>1073</v>
      </c>
      <c r="F4" s="43">
        <v>1642</v>
      </c>
      <c r="G4" s="43">
        <v>2183</v>
      </c>
      <c r="H4" s="43">
        <v>2481</v>
      </c>
      <c r="I4" s="43">
        <v>1789</v>
      </c>
      <c r="J4" s="43">
        <v>3298</v>
      </c>
      <c r="K4" s="43">
        <v>4937</v>
      </c>
      <c r="L4" s="43">
        <v>5404</v>
      </c>
      <c r="M4" s="43">
        <v>5774</v>
      </c>
      <c r="N4" s="43">
        <v>8447</v>
      </c>
    </row>
    <row r="5" spans="2:14" x14ac:dyDescent="0.35">
      <c r="B5" t="s">
        <v>78</v>
      </c>
      <c r="C5">
        <v>-39</v>
      </c>
      <c r="D5">
        <v>0</v>
      </c>
      <c r="E5">
        <v>-12</v>
      </c>
      <c r="F5">
        <v>-90</v>
      </c>
      <c r="G5">
        <v>-139</v>
      </c>
      <c r="H5">
        <v>109</v>
      </c>
      <c r="I5">
        <v>-59</v>
      </c>
      <c r="J5">
        <v>-207</v>
      </c>
      <c r="K5">
        <v>-112</v>
      </c>
      <c r="L5">
        <v>-348</v>
      </c>
      <c r="M5">
        <v>-95</v>
      </c>
      <c r="N5">
        <v>210</v>
      </c>
    </row>
    <row r="6" spans="2:14" x14ac:dyDescent="0.35">
      <c r="B6" t="s">
        <v>45</v>
      </c>
      <c r="C6">
        <v>-180</v>
      </c>
      <c r="D6">
        <v>-398</v>
      </c>
      <c r="E6">
        <v>-448</v>
      </c>
      <c r="F6">
        <v>-996</v>
      </c>
      <c r="G6" s="43">
        <v>-1120</v>
      </c>
      <c r="H6" s="43">
        <v>-1057</v>
      </c>
      <c r="I6">
        <v>-316</v>
      </c>
      <c r="J6" s="43">
        <v>-5199</v>
      </c>
      <c r="K6" s="43">
        <v>-2977</v>
      </c>
      <c r="L6" s="43">
        <v>-2462</v>
      </c>
      <c r="M6" s="43">
        <v>-9072</v>
      </c>
      <c r="N6" s="43">
        <v>-11592</v>
      </c>
    </row>
    <row r="7" spans="2:14" x14ac:dyDescent="0.35">
      <c r="B7" t="s">
        <v>128</v>
      </c>
      <c r="C7" s="43">
        <v>1079</v>
      </c>
      <c r="D7">
        <v>-245</v>
      </c>
      <c r="E7">
        <v>238</v>
      </c>
      <c r="F7">
        <v>95</v>
      </c>
      <c r="G7">
        <v>32</v>
      </c>
      <c r="H7">
        <v>-310</v>
      </c>
      <c r="I7">
        <v>195</v>
      </c>
      <c r="J7">
        <v>504</v>
      </c>
      <c r="K7">
        <v>-89</v>
      </c>
      <c r="L7">
        <v>196</v>
      </c>
      <c r="M7">
        <v>564</v>
      </c>
      <c r="N7">
        <v>472</v>
      </c>
    </row>
    <row r="8" spans="2:14" x14ac:dyDescent="0.35">
      <c r="B8" t="s">
        <v>129</v>
      </c>
      <c r="C8">
        <v>-71</v>
      </c>
      <c r="D8">
        <v>-66</v>
      </c>
      <c r="E8">
        <v>0</v>
      </c>
      <c r="F8">
        <v>3</v>
      </c>
      <c r="G8">
        <v>-24</v>
      </c>
      <c r="H8">
        <v>-20</v>
      </c>
      <c r="I8">
        <v>-8</v>
      </c>
      <c r="J8">
        <v>-3</v>
      </c>
      <c r="K8">
        <v>-18</v>
      </c>
      <c r="L8">
        <v>-21</v>
      </c>
      <c r="M8">
        <v>4</v>
      </c>
      <c r="N8" s="43">
        <v>7296</v>
      </c>
    </row>
    <row r="9" spans="2:14" x14ac:dyDescent="0.35">
      <c r="B9" t="s">
        <v>130</v>
      </c>
      <c r="C9">
        <v>0</v>
      </c>
      <c r="D9">
        <v>0</v>
      </c>
      <c r="E9">
        <v>763</v>
      </c>
      <c r="F9">
        <v>-270</v>
      </c>
      <c r="G9">
        <v>741</v>
      </c>
      <c r="H9">
        <v>-768</v>
      </c>
      <c r="I9" s="43">
        <v>2625</v>
      </c>
      <c r="J9" s="43">
        <v>1188</v>
      </c>
      <c r="K9">
        <v>-99</v>
      </c>
      <c r="L9">
        <v>42</v>
      </c>
      <c r="M9" s="43">
        <v>2468</v>
      </c>
      <c r="N9">
        <v>0</v>
      </c>
    </row>
    <row r="10" spans="2:14" x14ac:dyDescent="0.35">
      <c r="B10" t="s">
        <v>131</v>
      </c>
      <c r="C10" s="43">
        <v>-1204</v>
      </c>
      <c r="D10">
        <v>545</v>
      </c>
      <c r="E10">
        <v>375</v>
      </c>
      <c r="F10">
        <v>22</v>
      </c>
      <c r="G10">
        <v>206</v>
      </c>
      <c r="H10">
        <v>-226</v>
      </c>
      <c r="I10">
        <v>184</v>
      </c>
      <c r="J10">
        <v>497</v>
      </c>
      <c r="K10">
        <v>882</v>
      </c>
      <c r="L10">
        <v>57</v>
      </c>
      <c r="M10">
        <v>905</v>
      </c>
      <c r="N10" s="43">
        <v>2494</v>
      </c>
    </row>
    <row r="11" spans="2:14" x14ac:dyDescent="0.35">
      <c r="B11" t="s">
        <v>132</v>
      </c>
      <c r="C11">
        <v>-415</v>
      </c>
      <c r="D11">
        <v>-163</v>
      </c>
      <c r="E11">
        <v>916</v>
      </c>
      <c r="F11" s="43">
        <v>-1237</v>
      </c>
      <c r="G11">
        <v>-304</v>
      </c>
      <c r="H11" s="43">
        <v>-2272</v>
      </c>
      <c r="I11" s="43">
        <v>2621</v>
      </c>
      <c r="J11" s="43">
        <v>-3220</v>
      </c>
      <c r="K11" s="43">
        <v>-2413</v>
      </c>
      <c r="L11" s="43">
        <v>-2536</v>
      </c>
      <c r="M11" s="43">
        <v>-5226</v>
      </c>
      <c r="N11" s="43">
        <v>-1120</v>
      </c>
    </row>
    <row r="12" spans="2:14" x14ac:dyDescent="0.35">
      <c r="B12" t="s">
        <v>133</v>
      </c>
      <c r="C12">
        <v>-245</v>
      </c>
      <c r="D12">
        <v>-202</v>
      </c>
      <c r="E12">
        <v>-277</v>
      </c>
      <c r="F12">
        <v>-456</v>
      </c>
      <c r="G12">
        <v>-636</v>
      </c>
      <c r="H12">
        <v>-557</v>
      </c>
      <c r="I12">
        <v>-271</v>
      </c>
      <c r="J12">
        <v>-802</v>
      </c>
      <c r="K12" s="43">
        <v>-1154</v>
      </c>
      <c r="L12" s="43">
        <v>-1173</v>
      </c>
      <c r="M12" s="43">
        <v>-1089</v>
      </c>
      <c r="N12" s="43">
        <v>-1737</v>
      </c>
    </row>
    <row r="13" spans="2:14" x14ac:dyDescent="0.35">
      <c r="B13" t="s">
        <v>151</v>
      </c>
      <c r="C13">
        <v>-118</v>
      </c>
      <c r="D13">
        <v>-159</v>
      </c>
      <c r="E13">
        <v>-953</v>
      </c>
      <c r="F13">
        <v>98</v>
      </c>
      <c r="G13">
        <v>-797</v>
      </c>
      <c r="H13">
        <v>235</v>
      </c>
      <c r="I13" s="43">
        <v>-2799</v>
      </c>
      <c r="J13" s="43">
        <v>1165</v>
      </c>
      <c r="K13" s="43">
        <v>-1814</v>
      </c>
      <c r="L13">
        <v>-189</v>
      </c>
      <c r="M13">
        <v>546</v>
      </c>
      <c r="N13" s="43">
        <v>-2934</v>
      </c>
    </row>
    <row r="14" spans="2:14" x14ac:dyDescent="0.35">
      <c r="B14" t="s">
        <v>134</v>
      </c>
      <c r="C14">
        <v>-209</v>
      </c>
      <c r="D14">
        <v>-254</v>
      </c>
      <c r="E14">
        <v>-256</v>
      </c>
      <c r="F14">
        <v>-305</v>
      </c>
      <c r="G14">
        <v>-265</v>
      </c>
      <c r="H14">
        <v>-355</v>
      </c>
      <c r="I14">
        <v>-146</v>
      </c>
      <c r="J14">
        <v>-224</v>
      </c>
      <c r="K14">
        <v>-432</v>
      </c>
      <c r="L14">
        <v>-691</v>
      </c>
      <c r="M14">
        <v>-494</v>
      </c>
      <c r="N14">
        <v>-902</v>
      </c>
    </row>
    <row r="15" spans="2:14" x14ac:dyDescent="0.35">
      <c r="B15" t="s">
        <v>135</v>
      </c>
      <c r="C15">
        <v>2</v>
      </c>
      <c r="D15">
        <v>2</v>
      </c>
      <c r="E15">
        <v>5</v>
      </c>
      <c r="F15">
        <v>6</v>
      </c>
      <c r="G15">
        <v>1</v>
      </c>
      <c r="H15">
        <v>10</v>
      </c>
      <c r="I15">
        <v>7</v>
      </c>
      <c r="J15">
        <v>8</v>
      </c>
      <c r="K15">
        <v>12</v>
      </c>
      <c r="L15">
        <v>20</v>
      </c>
      <c r="M15">
        <v>24</v>
      </c>
      <c r="N15">
        <v>25</v>
      </c>
    </row>
    <row r="16" spans="2:14" x14ac:dyDescent="0.35">
      <c r="B16" t="s">
        <v>136</v>
      </c>
      <c r="C16">
        <v>-135</v>
      </c>
      <c r="D16" s="43">
        <v>-1078</v>
      </c>
      <c r="E16">
        <v>-325</v>
      </c>
      <c r="F16">
        <v>0</v>
      </c>
      <c r="G16">
        <v>-36</v>
      </c>
      <c r="H16">
        <v>-13</v>
      </c>
      <c r="I16" s="43">
        <v>-2656</v>
      </c>
      <c r="J16">
        <v>-253</v>
      </c>
      <c r="K16" s="43">
        <v>-2104</v>
      </c>
      <c r="L16" s="43">
        <v>-21893</v>
      </c>
      <c r="M16" s="43">
        <v>-15342</v>
      </c>
      <c r="N16" s="43">
        <v>-21936</v>
      </c>
    </row>
    <row r="17" spans="2:14" x14ac:dyDescent="0.35">
      <c r="B17" t="s">
        <v>137</v>
      </c>
      <c r="C17">
        <v>135</v>
      </c>
      <c r="D17" s="43">
        <v>1083</v>
      </c>
      <c r="E17">
        <v>0</v>
      </c>
      <c r="F17">
        <v>412</v>
      </c>
      <c r="G17">
        <v>18</v>
      </c>
      <c r="H17">
        <v>0</v>
      </c>
      <c r="I17">
        <v>43</v>
      </c>
      <c r="J17" s="43">
        <v>2870</v>
      </c>
      <c r="K17">
        <v>0</v>
      </c>
      <c r="L17" s="43">
        <v>22213</v>
      </c>
      <c r="M17" s="43">
        <v>15747</v>
      </c>
      <c r="N17" s="43">
        <v>20797</v>
      </c>
    </row>
    <row r="18" spans="2:14" x14ac:dyDescent="0.35">
      <c r="B18" t="s">
        <v>138</v>
      </c>
      <c r="C18">
        <v>77</v>
      </c>
      <c r="D18">
        <v>58</v>
      </c>
      <c r="E18">
        <v>41</v>
      </c>
      <c r="F18">
        <v>64</v>
      </c>
      <c r="G18">
        <v>85</v>
      </c>
      <c r="H18">
        <v>73</v>
      </c>
      <c r="I18">
        <v>49</v>
      </c>
      <c r="J18">
        <v>56</v>
      </c>
      <c r="K18">
        <v>143</v>
      </c>
      <c r="L18">
        <v>249</v>
      </c>
      <c r="M18">
        <v>288</v>
      </c>
      <c r="N18">
        <v>227</v>
      </c>
    </row>
    <row r="19" spans="2:14" x14ac:dyDescent="0.35">
      <c r="B19" t="s">
        <v>139</v>
      </c>
      <c r="C19">
        <v>0</v>
      </c>
      <c r="D19">
        <v>0</v>
      </c>
      <c r="E19">
        <v>0</v>
      </c>
      <c r="F19">
        <v>0</v>
      </c>
      <c r="G19">
        <v>0</v>
      </c>
      <c r="H19">
        <v>-39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5">
      <c r="B20" t="s">
        <v>140</v>
      </c>
      <c r="C20">
        <v>0</v>
      </c>
      <c r="D20">
        <v>-18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5">
      <c r="B21" t="s">
        <v>141</v>
      </c>
      <c r="C21">
        <v>0</v>
      </c>
      <c r="D21">
        <v>0</v>
      </c>
      <c r="E21">
        <v>-385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5">
      <c r="B22" t="s">
        <v>142</v>
      </c>
      <c r="C22">
        <v>-48</v>
      </c>
      <c r="D22">
        <v>38</v>
      </c>
      <c r="E22">
        <v>5</v>
      </c>
      <c r="F22">
        <v>-35</v>
      </c>
      <c r="G22">
        <v>-115</v>
      </c>
      <c r="H22">
        <v>200</v>
      </c>
      <c r="I22">
        <v>-50</v>
      </c>
      <c r="J22">
        <v>-344</v>
      </c>
      <c r="K22">
        <v>294</v>
      </c>
      <c r="L22">
        <v>-143</v>
      </c>
      <c r="M22">
        <v>243</v>
      </c>
      <c r="N22">
        <v>0</v>
      </c>
    </row>
    <row r="23" spans="2:14" x14ac:dyDescent="0.35">
      <c r="B23" t="s">
        <v>143</v>
      </c>
      <c r="C23">
        <v>60</v>
      </c>
      <c r="D23">
        <v>10</v>
      </c>
      <c r="E23">
        <v>-38</v>
      </c>
      <c r="F23">
        <v>-43</v>
      </c>
      <c r="G23">
        <v>-485</v>
      </c>
      <c r="H23">
        <v>359</v>
      </c>
      <c r="I23">
        <v>-46</v>
      </c>
      <c r="J23">
        <v>-948</v>
      </c>
      <c r="K23">
        <v>273</v>
      </c>
      <c r="L23">
        <v>56</v>
      </c>
      <c r="M23">
        <v>80</v>
      </c>
      <c r="N23" s="43">
        <v>-1145</v>
      </c>
    </row>
    <row r="24" spans="2:14" x14ac:dyDescent="0.35">
      <c r="B24" t="s">
        <v>152</v>
      </c>
      <c r="C24" s="43">
        <v>-1005</v>
      </c>
      <c r="D24">
        <v>-505</v>
      </c>
      <c r="E24">
        <v>-166</v>
      </c>
      <c r="F24">
        <v>-252</v>
      </c>
      <c r="G24">
        <v>-489</v>
      </c>
      <c r="H24">
        <v>-242</v>
      </c>
      <c r="I24" s="43">
        <v>-1234</v>
      </c>
      <c r="J24">
        <v>-403</v>
      </c>
      <c r="K24">
        <v>457</v>
      </c>
      <c r="L24" s="43">
        <v>-1329</v>
      </c>
      <c r="M24">
        <v>-7</v>
      </c>
      <c r="N24" s="43">
        <v>-2159</v>
      </c>
    </row>
    <row r="25" spans="2:14" x14ac:dyDescent="0.35">
      <c r="B25" t="s">
        <v>144</v>
      </c>
      <c r="C25">
        <v>0</v>
      </c>
      <c r="D25">
        <v>0</v>
      </c>
      <c r="E25">
        <v>0</v>
      </c>
      <c r="F25">
        <v>0</v>
      </c>
      <c r="G25">
        <v>0</v>
      </c>
      <c r="H25">
        <v>693</v>
      </c>
      <c r="I25">
        <v>0</v>
      </c>
      <c r="J25">
        <v>349</v>
      </c>
      <c r="K25" s="43">
        <v>1684</v>
      </c>
      <c r="L25" s="43">
        <v>5629</v>
      </c>
      <c r="M25" s="43">
        <v>2599</v>
      </c>
      <c r="N25" s="43">
        <v>3314</v>
      </c>
    </row>
    <row r="26" spans="2:14" x14ac:dyDescent="0.35">
      <c r="B26" t="s">
        <v>145</v>
      </c>
      <c r="C26">
        <v>0</v>
      </c>
      <c r="D26">
        <v>0</v>
      </c>
      <c r="E26">
        <v>0</v>
      </c>
      <c r="F26">
        <v>0</v>
      </c>
      <c r="G26">
        <v>-39</v>
      </c>
      <c r="H26">
        <v>0</v>
      </c>
      <c r="I26">
        <v>-562</v>
      </c>
      <c r="J26">
        <v>-7</v>
      </c>
      <c r="K26">
        <v>-7</v>
      </c>
      <c r="L26">
        <v>0</v>
      </c>
      <c r="M26">
        <v>-378</v>
      </c>
      <c r="N26" s="43">
        <v>-2632</v>
      </c>
    </row>
    <row r="27" spans="2:14" x14ac:dyDescent="0.35">
      <c r="B27" t="s">
        <v>146</v>
      </c>
      <c r="C27">
        <v>-81</v>
      </c>
      <c r="D27">
        <v>-42</v>
      </c>
      <c r="E27">
        <v>-38</v>
      </c>
      <c r="F27">
        <v>-54</v>
      </c>
      <c r="G27">
        <v>-53</v>
      </c>
      <c r="H27">
        <v>-399</v>
      </c>
      <c r="I27">
        <v>-317</v>
      </c>
      <c r="J27">
        <v>-218</v>
      </c>
      <c r="K27">
        <v>-300</v>
      </c>
      <c r="L27">
        <v>-619</v>
      </c>
      <c r="M27">
        <v>-538</v>
      </c>
      <c r="N27" s="43">
        <v>-1000</v>
      </c>
    </row>
    <row r="28" spans="2:14" x14ac:dyDescent="0.35">
      <c r="B28" t="s">
        <v>147</v>
      </c>
      <c r="C28">
        <v>-185</v>
      </c>
      <c r="D28">
        <v>-394</v>
      </c>
      <c r="E28">
        <v>-4</v>
      </c>
      <c r="F28">
        <v>-277</v>
      </c>
      <c r="G28">
        <v>-397</v>
      </c>
      <c r="H28">
        <v>-536</v>
      </c>
      <c r="I28">
        <v>-355</v>
      </c>
      <c r="J28">
        <v>-355</v>
      </c>
      <c r="K28">
        <v>-666</v>
      </c>
      <c r="L28">
        <v>-888</v>
      </c>
      <c r="M28">
        <v>-976</v>
      </c>
      <c r="N28">
        <v>-976</v>
      </c>
    </row>
    <row r="29" spans="2:14" x14ac:dyDescent="0.35">
      <c r="B29" t="s">
        <v>148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-172</v>
      </c>
      <c r="K29">
        <v>-254</v>
      </c>
      <c r="L29">
        <v>-318</v>
      </c>
      <c r="M29">
        <v>-700</v>
      </c>
      <c r="N29">
        <v>-865</v>
      </c>
    </row>
    <row r="30" spans="2:14" x14ac:dyDescent="0.35">
      <c r="B30" t="s">
        <v>149</v>
      </c>
      <c r="C30">
        <v>-739</v>
      </c>
      <c r="D30">
        <v>-68</v>
      </c>
      <c r="E30">
        <v>-124</v>
      </c>
      <c r="F30">
        <v>79</v>
      </c>
      <c r="G30">
        <v>0</v>
      </c>
      <c r="H30">
        <v>0</v>
      </c>
      <c r="I30">
        <v>0</v>
      </c>
      <c r="J30">
        <v>0</v>
      </c>
      <c r="K30">
        <v>0</v>
      </c>
      <c r="L30" s="43">
        <v>-5133</v>
      </c>
      <c r="M30">
        <v>-14</v>
      </c>
      <c r="N30">
        <v>0</v>
      </c>
    </row>
    <row r="31" spans="2:14" x14ac:dyDescent="0.35">
      <c r="B31" t="s">
        <v>35</v>
      </c>
      <c r="C31">
        <v>-620</v>
      </c>
      <c r="D31">
        <v>-88</v>
      </c>
      <c r="E31">
        <v>594</v>
      </c>
      <c r="F31">
        <v>-206</v>
      </c>
      <c r="G31">
        <v>-43</v>
      </c>
      <c r="H31">
        <v>-355</v>
      </c>
      <c r="I31">
        <v>106</v>
      </c>
      <c r="J31">
        <v>38</v>
      </c>
      <c r="K31">
        <v>13</v>
      </c>
      <c r="L31">
        <v>177</v>
      </c>
      <c r="M31">
        <v>-2</v>
      </c>
      <c r="N31">
        <v>497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Profit &amp; Loss</vt:lpstr>
      <vt:lpstr>Quarters</vt:lpstr>
      <vt:lpstr>Balance Sheet</vt:lpstr>
      <vt:lpstr>Cash Flow</vt:lpstr>
      <vt:lpstr>Customization</vt:lpstr>
      <vt:lpstr>financials&gt;</vt:lpstr>
      <vt:lpstr>Historical FS</vt:lpstr>
      <vt:lpstr>Ratio Analysis</vt:lpstr>
      <vt:lpstr>Forecasting</vt:lpstr>
      <vt:lpstr>Data&gt;</vt:lpstr>
      <vt:lpstr>Data Sheet</vt:lpstr>
      <vt:lpstr>cashflow data 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Diya goyal</cp:lastModifiedBy>
  <cp:lastPrinted>2026-06-22T16:02:08Z</cp:lastPrinted>
  <dcterms:created xsi:type="dcterms:W3CDTF">2012-08-17T09:55:37Z</dcterms:created>
  <dcterms:modified xsi:type="dcterms:W3CDTF">2026-06-22T16:02:17Z</dcterms:modified>
</cp:coreProperties>
</file>